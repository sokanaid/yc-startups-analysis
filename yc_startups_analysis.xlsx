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 данных" sheetId="1" state="visible" r:id="rId1"/>
    <sheet name="Топ для соло" sheetId="2" state="visible" r:id="rId2"/>
    <sheet name="Аналитика" sheetId="3" state="visible" r:id="rId3"/>
    <sheet name="Идеи для тебя" sheetId="4" state="visible" r:id="rId4"/>
    <sheet name="Риски AI-обёрток" sheetId="5" state="visible" r:id="rId5"/>
    <sheet name="AI Infra иде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FF1A1A2E"/>
      <sz val="16"/>
    </font>
    <font>
      <b val="1"/>
      <color rgb="00FFFFFF"/>
    </font>
    <font/>
    <font>
      <b val="1"/>
      <color rgb="FF1A1A2E"/>
      <sz val="14"/>
    </font>
    <font>
      <b val="1"/>
    </font>
  </fonts>
  <fills count="17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E7145"/>
        <bgColor rgb="FF1E7145"/>
      </patternFill>
    </fill>
    <fill>
      <patternFill patternType="solid">
        <fgColor rgb="FF8B0000"/>
        <bgColor rgb="FF8B0000"/>
      </patternFill>
    </fill>
    <fill>
      <patternFill patternType="solid">
        <fgColor rgb="FFB8860B"/>
        <bgColor rgb="FFB8860B"/>
      </patternFill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E3F2FD"/>
        <bgColor rgb="FFE3F2FD"/>
      </patternFill>
    </fill>
    <fill>
      <patternFill patternType="solid">
        <fgColor rgb="FF1565C0"/>
        <bgColor rgb="FF1565C0"/>
      </patternFill>
    </fill>
    <fill>
      <patternFill patternType="solid">
        <fgColor rgb="00FFF3E0"/>
        <bgColor rgb="00FFF3E0"/>
      </patternFill>
    </fill>
    <fill>
      <patternFill patternType="solid">
        <fgColor rgb="FFE65100"/>
        <bgColor rgb="FFE65100"/>
      </patternFill>
    </fill>
    <fill>
      <patternFill patternType="solid">
        <fgColor rgb="FFC8E6C9"/>
        <bgColor rgb="FFC8E6C9"/>
      </patternFill>
    </fill>
    <fill>
      <patternFill patternType="solid">
        <fgColor rgb="00FFF8E1"/>
        <bgColor rgb="00FFF8E1"/>
      </patternFill>
    </fill>
    <fill>
      <patternFill patternType="solid">
        <fgColor rgb="FFF57F17"/>
        <bgColor rgb="FFF57F17"/>
      </patternFill>
    </fill>
    <fill>
      <patternFill patternType="solid">
        <fgColor rgb="FFFCE4EC"/>
        <bgColor rgb="FFFCE4EC"/>
      </patternFill>
    </fill>
    <fill>
      <patternFill patternType="solid">
        <fgColor rgb="FFC62828"/>
        <bgColor rgb="FF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4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1" fillId="4" borderId="0" pivotButton="0" quotePrefix="0" xfId="0"/>
    <xf numFmtId="0" fontId="3" fillId="6" borderId="0" pivotButton="0" quotePrefix="0" xfId="0"/>
    <xf numFmtId="0" fontId="4" fillId="7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8" borderId="0" pivotButton="0" quotePrefix="0" xfId="0"/>
    <xf numFmtId="0" fontId="4" fillId="9" borderId="0" pivotButton="0" quotePrefix="0" xfId="0"/>
    <xf numFmtId="0" fontId="6" fillId="10" borderId="0" pivotButton="0" quotePrefix="0" xfId="0"/>
    <xf numFmtId="0" fontId="4" fillId="11" borderId="0" pivotButton="0" quotePrefix="0" xfId="0"/>
    <xf numFmtId="0" fontId="7" fillId="12" borderId="0" pivotButton="0" quotePrefix="0" xfId="0"/>
    <xf numFmtId="0" fontId="6" fillId="13" borderId="0" pivotButton="0" quotePrefix="0" xfId="0"/>
    <xf numFmtId="0" fontId="4" fillId="14" borderId="0" pivotButton="0" quotePrefix="0" xfId="0"/>
    <xf numFmtId="0" fontId="6" fillId="15" borderId="0" pivotButton="0" quotePrefix="0" xfId="0"/>
    <xf numFmtId="0" fontId="4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Распределение стартапов YC по секторам</a:t>
            </a:r>
          </a:p>
        </rich>
      </tx>
    </title>
    <plotArea>
      <pieChart>
        <varyColors val="1"/>
        <ser>
          <idx val="0"/>
          <order val="0"/>
          <tx>
            <strRef>
              <f>'Аналитика'!B2</f>
            </strRef>
          </tx>
          <spPr>
            <a:ln>
              <a:prstDash val="solid"/>
            </a:ln>
          </spPr>
          <cat>
            <numRef>
              <f>'Аналитика'!$A$3:$A$13</f>
            </numRef>
          </cat>
          <val>
            <numRef>
              <f>'Аналитика'!$B$3:$B$13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Рост доли AI-стартапов по батчам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'Аналитика'!B17</f>
            </strRef>
          </tx>
          <spPr>
            <a:ln>
              <a:prstDash val="solid"/>
            </a:ln>
          </spPr>
          <cat>
            <numRef>
              <f>'Аналитика'!$A$18:$A$21</f>
            </numRef>
          </cat>
          <val>
            <numRef>
              <f>'Аналитика'!$B$18:$B$21</f>
            </numRef>
          </val>
        </ser>
        <ser>
          <idx val="1"/>
          <order val="1"/>
          <tx>
            <strRef>
              <f>'Аналитика'!C17</f>
            </strRef>
          </tx>
          <spPr>
            <a:ln>
              <a:prstDash val="solid"/>
            </a:ln>
          </spPr>
          <cat>
            <numRef>
              <f>'Аналитика'!$A$18:$A$21</f>
            </numRef>
          </cat>
          <val>
            <numRef>
              <f>'Аналитика'!$C$18:$C$21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Батч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AI в батче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Топ-10 стартапов по трафику (тыс/мес)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'Аналитика'!G2</f>
            </strRef>
          </tx>
          <spPr>
            <a:ln>
              <a:prstDash val="solid"/>
            </a:ln>
          </spPr>
          <cat>
            <numRef>
              <f>'Аналитика'!$F$3:$F$12</f>
            </numRef>
          </cat>
          <val>
            <numRef>
              <f>'Аналитика'!$G$3:$G$12</f>
            </numRef>
          </val>
        </ser>
        <ser>
          <idx val="1"/>
          <order val="1"/>
          <tx>
            <strRef>
              <f>'Аналитика'!H2</f>
            </strRef>
          </tx>
          <spPr>
            <a:ln>
              <a:prstDash val="solid"/>
            </a:ln>
          </spPr>
          <cat>
            <numRef>
              <f>'Аналитика'!$F$3:$F$12</f>
            </numRef>
          </cat>
          <val>
            <numRef>
              <f>'Аналитика'!$H$3:$H$12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Стартап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Трафик (тыс/мес)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AI Infra \u0438\u0434\u0435\u0438: \u0440\u0435\u0439\u0442\u0438\u043d\u0433 \u0434\u043b\u044f \u0441\u043e\u043b\u043e-\u0440\u0430\u0437\u0440\u0430\u0431\u043e\u0442\u0447\u0438\u043a\u0430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 Infra идеи'!G28</f>
            </strRef>
          </tx>
          <spPr>
            <a:ln>
              <a:prstDash val="solid"/>
            </a:ln>
          </spPr>
          <cat>
            <numRef>
              <f>'AI Infra идеи'!$F$29:$F$38</f>
            </numRef>
          </cat>
          <val>
            <numRef>
              <f>'AI Infra идеи'!$G$29:$G$38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\u0418\u0434\u0435\u044f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(1-10)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\u0420\u0430\u0441\u043f\u0440\u0435\u0434\u0435\u043b\u0435\u043d\u0438\u0435 \u0438\u0434\u0435\u0439 \u043f\u043e \u043a\u0430\u0442\u0435\u0433\u043e\u0440\u0438\u044f\u043c</a:t>
            </a:r>
          </a:p>
        </rich>
      </tx>
    </title>
    <plotArea>
      <pieChart>
        <varyColors val="1"/>
        <ser>
          <idx val="0"/>
          <order val="0"/>
          <tx>
            <strRef>
              <f>'AI Infra идеи'!J28</f>
            </strRef>
          </tx>
          <spPr>
            <a:ln>
              <a:prstDash val="solid"/>
            </a:ln>
          </spPr>
          <cat>
            <numRef>
              <f>'AI Infra идеи'!$I$29:$I$34</f>
            </numRef>
          </cat>
          <val>
            <numRef>
              <f>'AI Infra идеи'!$J$29:$J$34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14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YC_Startups" displayName="YC_Startups" ref="A1:Q41" headerRowCount="1">
  <autoFilter ref="A1:Q41"/>
  <tableColumns count="17">
    <tableColumn id="1" name="#"/>
    <tableColumn id="2" name="Название"/>
    <tableColumn id="3" name="Батч"/>
    <tableColumn id="4" name="Сектор"/>
    <tableColumn id="5" name="Подсектор"/>
    <tableColumn id="6" name="Описание (RU)"/>
    <tableColumn id="7" name="Сайт"/>
    <tableColumn id="8" name="Статус"/>
    <tableColumn id="9" name="Кол-во фаундеров"/>
    <tableColumn id="10" name="Есть CTO/разработчик"/>
    <tableColumn id="11" name="Соло-оценка (1-5)"/>
    <tableColumn id="12" name="Трафик/мес (тыс)"/>
    <tableColumn id="13" name="Инвестиции ($ млн)"/>
    <tableColumn id="14" name="Основные конкуренты"/>
    <tableColumn id="15" name="Почему соло-дружественный"/>
    <tableColumn id="16" name="Идея для вдохновения"/>
    <tableColumn id="17" name="Ссылка YC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oloFriendly" displayName="SoloFriendly" ref="A1:L13" headerRowCount="1">
  <autoFilter ref="A1:L13"/>
  <tableColumns count="12">
    <tableColumn id="1" name="Ранг"/>
    <tableColumn id="2" name="Название"/>
    <tableColumn id="3" name="Батч"/>
    <tableColumn id="4" name="Сектор"/>
    <tableColumn id="5" name="Суть идеи вкратце"/>
    <tableColumn id="6" name="Почему подходит соло-разрабчику"/>
    <tableColumn id="7" name="Соло-оценка (1-5)"/>
    <tableColumn id="8" name="Потенциал роста"/>
    <tableColumn id="9" name="Сложность реализации"/>
    <tableColumn id="10" name="Стек для старта"/>
    <tableColumn id="11" name="Монетизация"/>
    <tableColumn id="12" name="Идея-адаптация для теб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deas" displayName="Ideas" ref="A1:J11" headerRowCount="1">
  <autoFilter ref="A1:J11"/>
  <tableColumns count="10">
    <tableColumn id="1" name="#"/>
    <tableColumn id="2" name="Idea"/>
    <tableColumn id="3" name="Inspired by"/>
    <tableColumn id="4" name="Why this fits solo dev"/>
    <tableColumn id="5" name="Tech Stack"/>
    <tableColumn id="6" name="Monetization"/>
    <tableColumn id="7" name="Difficulty (1-5)"/>
    <tableColumn id="8" name="Market size"/>
    <tableColumn id="9" name="First MVP in"/>
    <tableColumn id="10" name="Risk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AIInfraIdeas" displayName="AIInfraIdeas" ref="A3:O13" headerRowCount="1">
  <autoFilter ref="A3:O13"/>
  <tableColumns count="15">
    <tableColumn id="1" name="#"/>
    <tableColumn id="2" name="Идея"/>
    <tableColumn id="3" name="Категория"/>
    <tableColumn id="4" name="Боль которую решает"/>
    <tableColumn id="5" name="Конкуренты"/>
    <tableColumn id="6" name="Почему конкуренты слабые"/>
    <tableColumn id="7" name="Open Core: Free"/>
    <tableColumn id="8" name="Open Core: Paid"/>
    <tableColumn id="9" name="Стек"/>
    <tableColumn id="10" name="MVP (недели)"/>
    <tableColumn id="11" name="Сложность (1-5)"/>
    <tableColumn id="12" name="Revenue потенциал"/>
    <tableColumn id="13" name="AI-wrapper риск"/>
    <tableColumn id="14" name="Первые клиенты"/>
    <tableColumn id="15" name="Путь к $10K MR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Название</t>
        </is>
      </c>
      <c r="C1" s="1" t="inlineStr">
        <is>
          <t>Батч</t>
        </is>
      </c>
      <c r="D1" s="1" t="inlineStr">
        <is>
          <t>Сектор</t>
        </is>
      </c>
      <c r="E1" s="1" t="inlineStr">
        <is>
          <t>Подсектор</t>
        </is>
      </c>
      <c r="F1" s="1" t="inlineStr">
        <is>
          <t>Описание (RU)</t>
        </is>
      </c>
      <c r="G1" s="1" t="inlineStr">
        <is>
          <t>Сайт</t>
        </is>
      </c>
      <c r="H1" s="1" t="inlineStr">
        <is>
          <t>Статус</t>
        </is>
      </c>
      <c r="I1" s="1" t="inlineStr">
        <is>
          <t>Кол-во фаундеров</t>
        </is>
      </c>
      <c r="J1" s="1" t="inlineStr">
        <is>
          <t>Есть CTO/разработчик</t>
        </is>
      </c>
      <c r="K1" s="1" t="inlineStr">
        <is>
          <t>Соло-оценка (1-5)</t>
        </is>
      </c>
      <c r="L1" s="1" t="inlineStr">
        <is>
          <t>Трафик/мес (тыс)</t>
        </is>
      </c>
      <c r="M1" s="1" t="inlineStr">
        <is>
          <t>Инвестиции ($ млн)</t>
        </is>
      </c>
      <c r="N1" s="1" t="inlineStr">
        <is>
          <t>Основные конкуренты</t>
        </is>
      </c>
      <c r="O1" s="1" t="inlineStr">
        <is>
          <t>Почему соло-дружественный</t>
        </is>
      </c>
      <c r="P1" s="1" t="inlineStr">
        <is>
          <t>Идея для вдохновения</t>
        </is>
      </c>
      <c r="Q1" s="1" t="inlineStr">
        <is>
          <t>Ссылка YC</t>
        </is>
      </c>
    </row>
    <row r="2">
      <c r="A2" t="n">
        <v>1</v>
      </c>
      <c r="B2" t="inlineStr">
        <is>
          <t>Tremor</t>
        </is>
      </c>
      <c r="C2" t="inlineStr">
        <is>
          <t>S23</t>
        </is>
      </c>
      <c r="D2" t="inlineStr">
        <is>
          <t>Developer Tools</t>
        </is>
      </c>
      <c r="E2" t="inlineStr">
        <is>
          <t>UI Libraries</t>
        </is>
      </c>
      <c r="F2" t="inlineStr">
        <is>
          <t>React-компоненты для создания красивых дашбордов без дизайнера</t>
        </is>
      </c>
      <c r="G2" t="inlineStr">
        <is>
          <t>tremor.so</t>
        </is>
      </c>
      <c r="H2" t="inlineStr">
        <is>
          <t>Активен</t>
        </is>
      </c>
      <c r="I2" t="n">
        <v>2</v>
      </c>
      <c r="J2" t="inlineStr">
        <is>
          <t>Да</t>
        </is>
      </c>
      <c r="K2" t="n">
        <v>5</v>
      </c>
      <c r="L2" t="n">
        <v>120</v>
      </c>
      <c r="M2" t="n">
        <v>0</v>
      </c>
      <c r="N2" t="inlineStr">
        <is>
          <t>Material-UI, Chakra UI</t>
        </is>
      </c>
      <c r="O2" t="inlineStr">
        <is>
          <t>Open-source библиотека, монетизация через pro-версию, можно сделать соло</t>
        </is>
      </c>
      <c r="P2" t="inlineStr">
        <is>
          <t>UI-библиотека для конкретной ниши (например, для финтех или медицины)</t>
        </is>
      </c>
      <c r="Q2" t="inlineStr">
        <is>
          <t>ycombinator.com/companies/tremor</t>
        </is>
      </c>
    </row>
    <row r="3">
      <c r="A3" t="n">
        <v>2</v>
      </c>
      <c r="B3" t="inlineStr">
        <is>
          <t>OpenPipe</t>
        </is>
      </c>
      <c r="C3" t="inlineStr">
        <is>
          <t>S23</t>
        </is>
      </c>
      <c r="D3" t="inlineStr">
        <is>
          <t>AI</t>
        </is>
      </c>
      <c r="E3" t="inlineStr">
        <is>
          <t>Developer Tools</t>
        </is>
      </c>
      <c r="F3" t="inlineStr">
        <is>
          <t>Платформа для файн-тюнинга LLM моделей в продакшен, дешевле GPT-4 в 10-20x</t>
        </is>
      </c>
      <c r="G3" t="inlineStr">
        <is>
          <t>openpipe.ai</t>
        </is>
      </c>
      <c r="H3" t="inlineStr">
        <is>
          <t>Активен</t>
        </is>
      </c>
      <c r="I3" t="n">
        <v>2</v>
      </c>
      <c r="J3" t="inlineStr">
        <is>
          <t>Да</t>
        </is>
      </c>
      <c r="K3" t="n">
        <v>3</v>
      </c>
      <c r="L3" t="n">
        <v>45</v>
      </c>
      <c r="M3" t="n">
        <v>6.7</v>
      </c>
      <c r="N3" t="inlineStr">
        <is>
          <t>Anyscale, Together AI</t>
        </is>
      </c>
      <c r="O3" t="inlineStr">
        <is>
          <t>Высокотехнический продукт, нужна экспертиза в ML</t>
        </is>
      </c>
      <c r="P3" t="inlineStr">
        <is>
          <t>Файн-тюнинг LLM под конкретные домены: юридический, медицинский</t>
        </is>
      </c>
      <c r="Q3" t="inlineStr">
        <is>
          <t>ycombinator.com/companies/openpipe</t>
        </is>
      </c>
    </row>
    <row r="4">
      <c r="A4" t="n">
        <v>3</v>
      </c>
      <c r="B4" t="inlineStr">
        <is>
          <t>Krea</t>
        </is>
      </c>
      <c r="C4" t="inlineStr">
        <is>
          <t>S23</t>
        </is>
      </c>
      <c r="D4" t="inlineStr">
        <is>
          <t>AI</t>
        </is>
      </c>
      <c r="E4" t="inlineStr">
        <is>
          <t>Creative Tools</t>
        </is>
      </c>
      <c r="F4" t="inlineStr">
        <is>
          <t>AI-инструменты для дизайнеров: генерация и редактирование изображений в реальном времени</t>
        </is>
      </c>
      <c r="G4" t="inlineStr">
        <is>
          <t>krea.ai</t>
        </is>
      </c>
      <c r="H4" t="inlineStr">
        <is>
          <t>Активен</t>
        </is>
      </c>
      <c r="I4" t="n">
        <v>2</v>
      </c>
      <c r="J4" t="inlineStr">
        <is>
          <t>Да</t>
        </is>
      </c>
      <c r="K4" t="n">
        <v>4</v>
      </c>
      <c r="L4" t="n">
        <v>380</v>
      </c>
      <c r="M4" t="n">
        <v>2.5</v>
      </c>
      <c r="N4" t="inlineStr">
        <is>
          <t>Midjourney, Adobe Firefly</t>
        </is>
      </c>
      <c r="O4" t="inlineStr">
        <is>
          <t>Нишевый AI-инструмент для дизайнеров, монетизация подпиской</t>
        </is>
      </c>
      <c r="P4" t="inlineStr">
        <is>
          <t>Специализированный AI-редактор для конкретной профессии (архитекторы, модельеры)</t>
        </is>
      </c>
      <c r="Q4" t="inlineStr">
        <is>
          <t>ycombinator.com/companies/krea</t>
        </is>
      </c>
    </row>
    <row r="5">
      <c r="A5" t="n">
        <v>4</v>
      </c>
      <c r="B5" t="inlineStr">
        <is>
          <t>MagicSchool</t>
        </is>
      </c>
      <c r="C5" t="inlineStr">
        <is>
          <t>S23</t>
        </is>
      </c>
      <c r="D5" t="inlineStr">
        <is>
          <t>AI</t>
        </is>
      </c>
      <c r="E5" t="inlineStr">
        <is>
          <t>EdTech</t>
        </is>
      </c>
      <c r="F5" t="inlineStr">
        <is>
          <t>AI-ассистент для учителей: планы уроков, задания, письма родителям за секунды</t>
        </is>
      </c>
      <c r="G5" t="inlineStr">
        <is>
          <t>magicschool.ai</t>
        </is>
      </c>
      <c r="H5" t="inlineStr">
        <is>
          <t>Активен</t>
        </is>
      </c>
      <c r="I5" t="n">
        <v>2</v>
      </c>
      <c r="J5" t="inlineStr">
        <is>
          <t>Нет</t>
        </is>
      </c>
      <c r="K5" t="n">
        <v>5</v>
      </c>
      <c r="L5" t="n">
        <v>2100</v>
      </c>
      <c r="M5" t="n">
        <v>3</v>
      </c>
      <c r="N5" t="inlineStr">
        <is>
          <t>ChatGPT, Brisk Teaching</t>
        </is>
      </c>
      <c r="O5" t="inlineStr">
        <is>
          <t>Вертикальный AI для образования, простая реализация, огромный рынок</t>
        </is>
      </c>
      <c r="P5" t="inlineStr">
        <is>
          <t>AI-ассистент для конкретной профессии: врачи, юристы, риелторы</t>
        </is>
      </c>
      <c r="Q5" t="inlineStr">
        <is>
          <t>ycombinator.com/companies/magicschool</t>
        </is>
      </c>
    </row>
    <row r="6">
      <c r="A6" t="n">
        <v>5</v>
      </c>
      <c r="B6" t="inlineStr">
        <is>
          <t>Docket</t>
        </is>
      </c>
      <c r="C6" t="inlineStr">
        <is>
          <t>S23</t>
        </is>
      </c>
      <c r="D6" t="inlineStr">
        <is>
          <t>AI</t>
        </is>
      </c>
      <c r="E6" t="inlineStr">
        <is>
          <t>Productivity</t>
        </is>
      </c>
      <c r="F6" t="inlineStr">
        <is>
          <t>AI-ассистент для подготовки к встречам: автоматически собирает контекст и агенду</t>
        </is>
      </c>
      <c r="G6" t="inlineStr">
        <is>
          <t>withdocket.com</t>
        </is>
      </c>
      <c r="H6" t="inlineStr">
        <is>
          <t>Активен</t>
        </is>
      </c>
      <c r="I6" t="n">
        <v>2</v>
      </c>
      <c r="J6" t="inlineStr">
        <is>
          <t>Да</t>
        </is>
      </c>
      <c r="K6" t="n">
        <v>4</v>
      </c>
      <c r="L6" t="n">
        <v>18</v>
      </c>
      <c r="M6" t="n">
        <v>1.5</v>
      </c>
      <c r="N6" t="inlineStr">
        <is>
          <t>Otter.ai, Notion AI</t>
        </is>
      </c>
      <c r="O6" t="inlineStr">
        <is>
          <t>Узкая ниша meeting-prep, реализуемо соло, интеграция с Calendar API</t>
        </is>
      </c>
      <c r="P6" t="inlineStr">
        <is>
          <t>AI-подготовка к переговорам/звонкам для конкретной индустрии</t>
        </is>
      </c>
      <c r="Q6" t="inlineStr">
        <is>
          <t>ycombinator.com/companies/docket</t>
        </is>
      </c>
    </row>
    <row r="7">
      <c r="A7" t="n">
        <v>6</v>
      </c>
      <c r="B7" t="inlineStr">
        <is>
          <t>Lutra AI</t>
        </is>
      </c>
      <c r="C7" t="inlineStr">
        <is>
          <t>S23</t>
        </is>
      </c>
      <c r="D7" t="inlineStr">
        <is>
          <t>AI</t>
        </is>
      </c>
      <c r="E7" t="inlineStr">
        <is>
          <t>Automation</t>
        </is>
      </c>
      <c r="F7" t="inlineStr">
        <is>
          <t>No-code автоматизация рабочих процессов с помощью AI-агентов через обычный текст</t>
        </is>
      </c>
      <c r="G7" t="inlineStr">
        <is>
          <t>lutra.ai</t>
        </is>
      </c>
      <c r="H7" t="inlineStr">
        <is>
          <t>Активен</t>
        </is>
      </c>
      <c r="I7" t="n">
        <v>2</v>
      </c>
      <c r="J7" t="inlineStr">
        <is>
          <t>Да</t>
        </is>
      </c>
      <c r="K7" t="n">
        <v>4</v>
      </c>
      <c r="L7" t="n">
        <v>25</v>
      </c>
      <c r="M7" t="n">
        <v>2</v>
      </c>
      <c r="N7" t="inlineStr">
        <is>
          <t>Zapier, Make, n8n</t>
        </is>
      </c>
      <c r="O7" t="inlineStr">
        <is>
          <t>No-code автоматизация, можно фокусироваться на нишевых сценариях</t>
        </is>
      </c>
      <c r="P7" t="inlineStr">
        <is>
          <t>AI-автоматизация для конкретной индустрии: недвижимость, e-commerce</t>
        </is>
      </c>
      <c r="Q7" t="inlineStr">
        <is>
          <t>ycombinator.com/companies/lutra</t>
        </is>
      </c>
    </row>
    <row r="8">
      <c r="A8" t="n">
        <v>7</v>
      </c>
      <c r="B8" t="inlineStr">
        <is>
          <t>Unriddle</t>
        </is>
      </c>
      <c r="C8" t="inlineStr">
        <is>
          <t>S23</t>
        </is>
      </c>
      <c r="D8" t="inlineStr">
        <is>
          <t>AI</t>
        </is>
      </c>
      <c r="E8" t="inlineStr">
        <is>
          <t>Education</t>
        </is>
      </c>
      <c r="F8" t="inlineStr">
        <is>
          <t>AI для исследователей: суммаризация научных статей, поиск связей, анализ литературы</t>
        </is>
      </c>
      <c r="G8" t="inlineStr">
        <is>
          <t>unriddle.ai</t>
        </is>
      </c>
      <c r="H8" t="inlineStr">
        <is>
          <t>Активен</t>
        </is>
      </c>
      <c r="I8" t="n">
        <v>2</v>
      </c>
      <c r="J8" t="inlineStr">
        <is>
          <t>Да</t>
        </is>
      </c>
      <c r="K8" t="n">
        <v>4</v>
      </c>
      <c r="L8" t="n">
        <v>334</v>
      </c>
      <c r="M8" t="n">
        <v>1.2</v>
      </c>
      <c r="N8" t="inlineStr">
        <is>
          <t>Elicit, Semantic Scholar</t>
        </is>
      </c>
      <c r="O8" t="inlineStr">
        <is>
          <t>Вертикальный AI для академии, высокий спрос, делается соло</t>
        </is>
      </c>
      <c r="P8" t="inlineStr">
        <is>
          <t>AI-инструмент для работы с PDF/документами в нишевой области</t>
        </is>
      </c>
      <c r="Q8" t="inlineStr">
        <is>
          <t>ycombinator.com/companies/unriddle</t>
        </is>
      </c>
    </row>
    <row r="9">
      <c r="A9" t="n">
        <v>8</v>
      </c>
      <c r="B9" t="inlineStr">
        <is>
          <t>Coda Payments</t>
        </is>
      </c>
      <c r="C9" t="inlineStr">
        <is>
          <t>S23</t>
        </is>
      </c>
      <c r="D9" t="inlineStr">
        <is>
          <t>Fintech</t>
        </is>
      </c>
      <c r="E9" t="inlineStr">
        <is>
          <t>Payments</t>
        </is>
      </c>
      <c r="F9" t="inlineStr">
        <is>
          <t>Платёжная инфраструктура для игровой индустрии в Азии</t>
        </is>
      </c>
      <c r="G9" t="inlineStr">
        <is>
          <t>codapayments.com</t>
        </is>
      </c>
      <c r="H9" t="inlineStr">
        <is>
          <t>Активен</t>
        </is>
      </c>
      <c r="I9" t="n">
        <v>3</v>
      </c>
      <c r="J9" t="inlineStr">
        <is>
          <t>Да</t>
        </is>
      </c>
      <c r="K9" t="n">
        <v>1</v>
      </c>
      <c r="L9" t="n">
        <v>500</v>
      </c>
      <c r="M9" t="n">
        <v>25</v>
      </c>
      <c r="N9" t="inlineStr">
        <is>
          <t>Xsolla, Gala</t>
        </is>
      </c>
      <c r="O9" t="inlineStr">
        <is>
          <t>Сложная регуляторная среда, нужна команда</t>
        </is>
      </c>
      <c r="P9" t="inlineStr">
        <is>
          <t>—</t>
        </is>
      </c>
      <c r="Q9" t="inlineStr">
        <is>
          <t>ycombinator.com/companies/coda</t>
        </is>
      </c>
    </row>
    <row r="10">
      <c r="A10" t="n">
        <v>9</v>
      </c>
      <c r="B10" t="inlineStr">
        <is>
          <t>Gumloop</t>
        </is>
      </c>
      <c r="C10" t="inlineStr">
        <is>
          <t>W24</t>
        </is>
      </c>
      <c r="D10" t="inlineStr">
        <is>
          <t>AI</t>
        </is>
      </c>
      <c r="E10" t="inlineStr">
        <is>
          <t>No-Code Automation</t>
        </is>
      </c>
      <c r="F10" t="inlineStr">
        <is>
          <t>Drag-and-drop платформа для создания AI-воркфлоу без кода. Raised $17M Series A</t>
        </is>
      </c>
      <c r="G10" t="inlineStr">
        <is>
          <t>gumloop.com</t>
        </is>
      </c>
      <c r="H10" t="inlineStr">
        <is>
          <t>Активен / Растёт</t>
        </is>
      </c>
      <c r="I10" t="n">
        <v>2</v>
      </c>
      <c r="J10" t="inlineStr">
        <is>
          <t>Да</t>
        </is>
      </c>
      <c r="K10" t="n">
        <v>5</v>
      </c>
      <c r="L10" t="n">
        <v>95</v>
      </c>
      <c r="M10" t="n">
        <v>20.1</v>
      </c>
      <c r="N10" t="inlineStr">
        <is>
          <t>Zapier AI, Make, Activepieces</t>
        </is>
      </c>
      <c r="O10" t="inlineStr">
        <is>
          <t>2 фаундера, реализовано как drag-and-drop SaaS, уже $17M. Идеальный шаблон</t>
        </is>
      </c>
      <c r="P10" t="inlineStr">
        <is>
          <t>No-code AI автоматизация для конкретной вертикали (HR, юристы, бухгалтерия)</t>
        </is>
      </c>
      <c r="Q10" t="inlineStr">
        <is>
          <t>ycombinator.com/companies/gumloop</t>
        </is>
      </c>
    </row>
    <row r="11">
      <c r="A11" t="n">
        <v>10</v>
      </c>
      <c r="B11" t="inlineStr">
        <is>
          <t>Toolify</t>
        </is>
      </c>
      <c r="C11" t="inlineStr">
        <is>
          <t>W24</t>
        </is>
      </c>
      <c r="D11" t="inlineStr">
        <is>
          <t>Developer Tools</t>
        </is>
      </c>
      <c r="E11" t="inlineStr">
        <is>
          <t>Internal Tools</t>
        </is>
      </c>
      <c r="F11" t="inlineStr">
        <is>
          <t>AI-генератор internal tools прямо из VSCode, без low-code ограничений</t>
        </is>
      </c>
      <c r="G11" t="inlineStr">
        <is>
          <t>toolify.dev</t>
        </is>
      </c>
      <c r="H11" t="inlineStr">
        <is>
          <t>Активен</t>
        </is>
      </c>
      <c r="I11" t="n">
        <v>2</v>
      </c>
      <c r="J11" t="inlineStr">
        <is>
          <t>Да</t>
        </is>
      </c>
      <c r="K11" t="n">
        <v>4</v>
      </c>
      <c r="L11" t="n">
        <v>22</v>
      </c>
      <c r="M11" t="n">
        <v>1.8</v>
      </c>
      <c r="N11" t="inlineStr">
        <is>
          <t>Retool, AppSmith</t>
        </is>
      </c>
      <c r="O11" t="inlineStr">
        <is>
          <t>VSCode extension + AI, понятная монетизация, реализуемо соло</t>
        </is>
      </c>
      <c r="P11" t="inlineStr">
        <is>
          <t>AI-генератор для конкретного типа инструментов: дашборды, CRM, admin panels</t>
        </is>
      </c>
      <c r="Q11" t="inlineStr">
        <is>
          <t>ycombinator.com/companies/toolify</t>
        </is>
      </c>
    </row>
    <row r="12">
      <c r="A12" t="n">
        <v>11</v>
      </c>
      <c r="B12" t="inlineStr">
        <is>
          <t>Exa AI</t>
        </is>
      </c>
      <c r="C12" t="inlineStr">
        <is>
          <t>W24</t>
        </is>
      </c>
      <c r="D12" t="inlineStr">
        <is>
          <t>AI</t>
        </is>
      </c>
      <c r="E12" t="inlineStr">
        <is>
          <t>Search API</t>
        </is>
      </c>
      <c r="F12" t="inlineStr">
        <is>
          <t>Нейросетевой поисковый API для AI-приложений — понимает смысл, а не ключевые слова</t>
        </is>
      </c>
      <c r="G12" t="inlineStr">
        <is>
          <t>exa.ai</t>
        </is>
      </c>
      <c r="H12" t="inlineStr">
        <is>
          <t>Активен</t>
        </is>
      </c>
      <c r="I12" t="n">
        <v>2</v>
      </c>
      <c r="J12" t="inlineStr">
        <is>
          <t>Да</t>
        </is>
      </c>
      <c r="K12" t="n">
        <v>3</v>
      </c>
      <c r="L12" t="n">
        <v>180</v>
      </c>
      <c r="M12" t="n">
        <v>17</v>
      </c>
      <c r="N12" t="inlineStr">
        <is>
          <t>Serper, Tavily, Google Search API</t>
        </is>
      </c>
      <c r="O12" t="inlineStr">
        <is>
          <t>API-продукт, нужна AI-экспертиза, но высокий спрос со стороны разработчиков</t>
        </is>
      </c>
      <c r="P12" t="inlineStr">
        <is>
          <t>Нишевый поисковый API для конкретной области (медицина, финансы, право)</t>
        </is>
      </c>
      <c r="Q12" t="inlineStr">
        <is>
          <t>ycombinator.com/companies/exa</t>
        </is>
      </c>
    </row>
    <row r="13">
      <c r="A13" t="n">
        <v>12</v>
      </c>
      <c r="B13" t="inlineStr">
        <is>
          <t>Kino AI</t>
        </is>
      </c>
      <c r="C13" t="inlineStr">
        <is>
          <t>W24</t>
        </is>
      </c>
      <c r="D13" t="inlineStr">
        <is>
          <t>AI</t>
        </is>
      </c>
      <c r="E13" t="inlineStr">
        <is>
          <t>Creative Tools</t>
        </is>
      </c>
      <c r="F13" t="inlineStr">
        <is>
          <t>AI-поиск по видеофутажу для кинорежиссёров и видеоредакторов</t>
        </is>
      </c>
      <c r="G13" t="inlineStr">
        <is>
          <t>kino.ai</t>
        </is>
      </c>
      <c r="H13" t="inlineStr">
        <is>
          <t>Активен</t>
        </is>
      </c>
      <c r="I13" t="n">
        <v>2</v>
      </c>
      <c r="J13" t="inlineStr">
        <is>
          <t>Да</t>
        </is>
      </c>
      <c r="K13" t="n">
        <v>4</v>
      </c>
      <c r="L13" t="n">
        <v>30</v>
      </c>
      <c r="M13" t="n">
        <v>2.5</v>
      </c>
      <c r="N13" t="inlineStr">
        <is>
          <t>Frame.io, Vault</t>
        </is>
      </c>
      <c r="O13" t="inlineStr">
        <is>
          <t>Нишевый AI для видео-профессионалов, отличный пример вертикальной AI</t>
        </is>
      </c>
      <c r="P13" t="inlineStr">
        <is>
          <t>AI-поиск по медиа-архивам для конкретной профессии: журналисты, юристы</t>
        </is>
      </c>
      <c r="Q13" t="inlineStr">
        <is>
          <t>ycombinator.com/companies/kino</t>
        </is>
      </c>
    </row>
    <row r="14">
      <c r="A14" t="n">
        <v>13</v>
      </c>
      <c r="B14" t="inlineStr">
        <is>
          <t>Browserbase</t>
        </is>
      </c>
      <c r="C14" t="inlineStr">
        <is>
          <t>W24</t>
        </is>
      </c>
      <c r="D14" t="inlineStr">
        <is>
          <t>Developer Tools</t>
        </is>
      </c>
      <c r="E14" t="inlineStr">
        <is>
          <t>Browser Infrastructure</t>
        </is>
      </c>
      <c r="F14" t="inlineStr">
        <is>
          <t>Headless browser как сервис для AI-агентов и автоматизации веба</t>
        </is>
      </c>
      <c r="G14" t="inlineStr">
        <is>
          <t>browserbase.com</t>
        </is>
      </c>
      <c r="H14" t="inlineStr">
        <is>
          <t>Активен</t>
        </is>
      </c>
      <c r="I14" t="n">
        <v>2</v>
      </c>
      <c r="J14" t="inlineStr">
        <is>
          <t>Да</t>
        </is>
      </c>
      <c r="K14" t="n">
        <v>3</v>
      </c>
      <c r="L14" t="n">
        <v>55</v>
      </c>
      <c r="M14" t="n">
        <v>27</v>
      </c>
      <c r="N14" t="inlineStr">
        <is>
          <t>Playwright Cloud, Apify</t>
        </is>
      </c>
      <c r="O14" t="inlineStr">
        <is>
          <t>Инфраструктурный продукт, нужна DevOps экспертиза</t>
        </is>
      </c>
      <c r="P14" t="inlineStr">
        <is>
          <t>Managed browser инфраструктура для AI-скрапинга в нишевой области</t>
        </is>
      </c>
      <c r="Q14" t="inlineStr">
        <is>
          <t>ycombinator.com/companies/browserbase</t>
        </is>
      </c>
    </row>
    <row r="15">
      <c r="A15" t="n">
        <v>14</v>
      </c>
      <c r="B15" t="inlineStr">
        <is>
          <t>Mynd</t>
        </is>
      </c>
      <c r="C15" t="inlineStr">
        <is>
          <t>W24</t>
        </is>
      </c>
      <c r="D15" t="inlineStr">
        <is>
          <t>HealthTech</t>
        </is>
      </c>
      <c r="E15" t="inlineStr">
        <is>
          <t>Mental Health</t>
        </is>
      </c>
      <c r="F15" t="inlineStr">
        <is>
          <t>AI-приложение для психического здоровья: персональный коуч и терапевт на основе LLM</t>
        </is>
      </c>
      <c r="G15" t="inlineStr">
        <is>
          <t>mynd.co</t>
        </is>
      </c>
      <c r="H15" t="inlineStr">
        <is>
          <t>Активен</t>
        </is>
      </c>
      <c r="I15" t="n">
        <v>2</v>
      </c>
      <c r="J15" t="inlineStr">
        <is>
          <t>Нет</t>
        </is>
      </c>
      <c r="K15" t="n">
        <v>4</v>
      </c>
      <c r="L15" t="n">
        <v>40</v>
      </c>
      <c r="M15" t="n">
        <v>2</v>
      </c>
      <c r="N15" t="inlineStr">
        <is>
          <t>BetterHelp, Headspace</t>
        </is>
      </c>
      <c r="O15" t="inlineStr">
        <is>
          <t>B2C приложение, регуляторные сложности, но реализуемо соло технически</t>
        </is>
      </c>
      <c r="P15" t="inlineStr">
        <is>
          <t>AI-коуч для конкретной аудитории: стартапёры, студенты, спортсмены</t>
        </is>
      </c>
      <c r="Q15" t="inlineStr">
        <is>
          <t>ycombinator.com/companies/mynd</t>
        </is>
      </c>
    </row>
    <row r="16">
      <c r="A16" t="n">
        <v>15</v>
      </c>
      <c r="B16" t="inlineStr">
        <is>
          <t>NextUI</t>
        </is>
      </c>
      <c r="C16" t="inlineStr">
        <is>
          <t>S24</t>
        </is>
      </c>
      <c r="D16" t="inlineStr">
        <is>
          <t>Developer Tools</t>
        </is>
      </c>
      <c r="E16" t="inlineStr">
        <is>
          <t>UI Libraries</t>
        </is>
      </c>
      <c r="F16" t="inlineStr">
        <is>
          <t>React UI toolkit с Tailwind CSS — красивые компоненты с тёмной темой из коробки</t>
        </is>
      </c>
      <c r="G16" t="inlineStr">
        <is>
          <t>nextui.org</t>
        </is>
      </c>
      <c r="H16" t="inlineStr">
        <is>
          <t>Активен</t>
        </is>
      </c>
      <c r="I16" t="n">
        <v>2</v>
      </c>
      <c r="J16" t="inlineStr">
        <is>
          <t>Да</t>
        </is>
      </c>
      <c r="K16" t="n">
        <v>5</v>
      </c>
      <c r="L16" t="n">
        <v>665</v>
      </c>
      <c r="M16" t="n">
        <v>0</v>
      </c>
      <c r="N16" t="inlineStr">
        <is>
          <t>shadcn/ui, Chakra UI, Material UI</t>
        </is>
      </c>
      <c r="O16" t="inlineStr">
        <is>
          <t>665k трафика, open-source с pro-версией. Реализуется соло, монетизируется подпиской</t>
        </is>
      </c>
      <c r="P16" t="inlineStr">
        <is>
          <t>UI-kit для конкретного фреймворка/стека (Svelte, Vue, React Native)</t>
        </is>
      </c>
      <c r="Q16" t="inlineStr">
        <is>
          <t>ycombinator.com/companies/nextui</t>
        </is>
      </c>
    </row>
    <row r="17">
      <c r="A17" t="n">
        <v>16</v>
      </c>
      <c r="B17" t="inlineStr">
        <is>
          <t>Wordware</t>
        </is>
      </c>
      <c r="C17" t="inlineStr">
        <is>
          <t>S24</t>
        </is>
      </c>
      <c r="D17" t="inlineStr">
        <is>
          <t>AI</t>
        </is>
      </c>
      <c r="E17" t="inlineStr">
        <is>
          <t>No-Code AI Builder</t>
        </is>
      </c>
      <c r="F17" t="inlineStr">
        <is>
          <t>Платформа где нетехнические эксперты строят AI-инструменты через plain English + код</t>
        </is>
      </c>
      <c r="G17" t="inlineStr">
        <is>
          <t>wordware.ai</t>
        </is>
      </c>
      <c r="H17" t="inlineStr">
        <is>
          <t>Активен</t>
        </is>
      </c>
      <c r="I17" t="n">
        <v>2</v>
      </c>
      <c r="J17" t="inlineStr">
        <is>
          <t>Да</t>
        </is>
      </c>
      <c r="K17" t="n">
        <v>5</v>
      </c>
      <c r="L17" t="n">
        <v>587</v>
      </c>
      <c r="M17" t="n">
        <v>3.5</v>
      </c>
      <c r="N17" t="inlineStr">
        <is>
          <t>FlowiseAI, Langflow, Dust</t>
        </is>
      </c>
      <c r="O17" t="inlineStr">
        <is>
          <t>587k трафика, no-code AI builder — огромный спрос, реализуемо соло</t>
        </is>
      </c>
      <c r="P17" t="inlineStr">
        <is>
          <t>AI-builder для конкретной профессии: учителя, юристы, HR-специалисты</t>
        </is>
      </c>
      <c r="Q17" t="inlineStr">
        <is>
          <t>ycombinator.com/companies/wordware</t>
        </is>
      </c>
    </row>
    <row r="18">
      <c r="A18" t="n">
        <v>17</v>
      </c>
      <c r="B18" t="inlineStr">
        <is>
          <t>Comfy Deploy</t>
        </is>
      </c>
      <c r="C18" t="inlineStr">
        <is>
          <t>S24</t>
        </is>
      </c>
      <c r="D18" t="inlineStr">
        <is>
          <t>AI</t>
        </is>
      </c>
      <c r="E18" t="inlineStr">
        <is>
          <t>DevTools / Image Generation</t>
        </is>
      </c>
      <c r="F18" t="inlineStr">
        <is>
          <t>Managed платформа для деплоя ComfyUI воркфлоу как API с облачным GPU</t>
        </is>
      </c>
      <c r="G18" t="inlineStr">
        <is>
          <t>comfydeploy.com</t>
        </is>
      </c>
      <c r="H18" t="inlineStr">
        <is>
          <t>Активен</t>
        </is>
      </c>
      <c r="I18" t="n">
        <v>2</v>
      </c>
      <c r="J18" t="inlineStr">
        <is>
          <t>Да</t>
        </is>
      </c>
      <c r="K18" t="n">
        <v>4</v>
      </c>
      <c r="L18" t="n">
        <v>35</v>
      </c>
      <c r="M18" t="n">
        <v>1.5</v>
      </c>
      <c r="N18" t="inlineStr">
        <is>
          <t>Replicate, Modal</t>
        </is>
      </c>
      <c r="O18" t="inlineStr">
        <is>
          <t>AI-инфраструктура для ComfyUI, нишевый но растущий рынок</t>
        </is>
      </c>
      <c r="P18" t="inlineStr">
        <is>
          <t>Managed-платформа для деплоя AI-моделей под конкретную задачу</t>
        </is>
      </c>
      <c r="Q18" t="inlineStr">
        <is>
          <t>ycombinator.com/companies/comfy-deploy</t>
        </is>
      </c>
    </row>
    <row r="19">
      <c r="A19" t="n">
        <v>18</v>
      </c>
      <c r="B19" t="inlineStr">
        <is>
          <t>BeeBettor</t>
        </is>
      </c>
      <c r="C19" t="inlineStr">
        <is>
          <t>S24</t>
        </is>
      </c>
      <c r="D19" t="inlineStr">
        <is>
          <t>Consumer</t>
        </is>
      </c>
      <c r="E19" t="inlineStr">
        <is>
          <t>Sports / Marketplace</t>
        </is>
      </c>
      <c r="F19" t="inlineStr">
        <is>
          <t>Платформа для исследования ставок — создание и продажа аналитики другим игрокам</t>
        </is>
      </c>
      <c r="G19" t="inlineStr">
        <is>
          <t>beebettor.com</t>
        </is>
      </c>
      <c r="H19" t="inlineStr">
        <is>
          <t>Активен</t>
        </is>
      </c>
      <c r="I19" t="n">
        <v>2</v>
      </c>
      <c r="J19" t="inlineStr">
        <is>
          <t>Да</t>
        </is>
      </c>
      <c r="K19" t="n">
        <v>4</v>
      </c>
      <c r="L19" t="n">
        <v>22</v>
      </c>
      <c r="M19" t="n">
        <v>0.5</v>
      </c>
      <c r="N19" t="inlineStr">
        <is>
          <t>Action Network, The Athletic</t>
        </is>
      </c>
      <c r="O19" t="inlineStr">
        <is>
          <t>Marketplace анализа ставок, двусторонний рынок, реализуемо соло</t>
        </is>
      </c>
      <c r="P19" t="inlineStr">
        <is>
          <t>Нишевый маркетплейс экспертных знаний (инвестиции, путешествия, спорт)</t>
        </is>
      </c>
      <c r="Q19" t="inlineStr">
        <is>
          <t>ycombinator.com/companies/beebettor</t>
        </is>
      </c>
    </row>
    <row r="20">
      <c r="A20" t="n">
        <v>19</v>
      </c>
      <c r="B20" t="inlineStr">
        <is>
          <t>Laminar AI</t>
        </is>
      </c>
      <c r="C20" t="inlineStr">
        <is>
          <t>S24</t>
        </is>
      </c>
      <c r="D20" t="inlineStr">
        <is>
          <t>AI</t>
        </is>
      </c>
      <c r="E20" t="inlineStr">
        <is>
          <t>DevTools / Observability</t>
        </is>
      </c>
      <c r="F20" t="inlineStr">
        <is>
          <t>Инструмент для тестирования и мониторинга AI-приложений с низкой задержкой</t>
        </is>
      </c>
      <c r="G20" t="inlineStr">
        <is>
          <t>laminarpurpose.com</t>
        </is>
      </c>
      <c r="H20" t="inlineStr">
        <is>
          <t>Активен</t>
        </is>
      </c>
      <c r="I20" t="n">
        <v>2</v>
      </c>
      <c r="J20" t="inlineStr">
        <is>
          <t>Да</t>
        </is>
      </c>
      <c r="K20" t="n">
        <v>3</v>
      </c>
      <c r="L20" t="n">
        <v>20</v>
      </c>
      <c r="M20" t="n">
        <v>1.5</v>
      </c>
      <c r="N20" t="inlineStr">
        <is>
          <t>LangSmith, Helicone, Arize</t>
        </is>
      </c>
      <c r="O20" t="inlineStr">
        <is>
          <t>DevTools для AI-команд, нишевый но растущий рынок LLMOps</t>
        </is>
      </c>
      <c r="P20" t="inlineStr">
        <is>
          <t>Observability платформа для LLM-приложений в конкретной вертикали</t>
        </is>
      </c>
      <c r="Q20" t="inlineStr">
        <is>
          <t>ycombinator.com/companies/laminar</t>
        </is>
      </c>
    </row>
    <row r="21">
      <c r="A21" t="n">
        <v>20</v>
      </c>
      <c r="B21" t="inlineStr">
        <is>
          <t>Mito Health</t>
        </is>
      </c>
      <c r="C21" t="inlineStr">
        <is>
          <t>S24</t>
        </is>
      </c>
      <c r="D21" t="inlineStr">
        <is>
          <t>HealthTech</t>
        </is>
      </c>
      <c r="E21" t="inlineStr">
        <is>
          <t>Preventive Health</t>
        </is>
      </c>
      <c r="F21" t="inlineStr">
        <is>
          <t>AI-персонализация здоровья на основе анализа крови: рекомендации по добавкам и питанию</t>
        </is>
      </c>
      <c r="G21" t="inlineStr">
        <is>
          <t>mitohealth.com</t>
        </is>
      </c>
      <c r="H21" t="inlineStr">
        <is>
          <t>Активен</t>
        </is>
      </c>
      <c r="I21" t="n">
        <v>2</v>
      </c>
      <c r="J21" t="inlineStr">
        <is>
          <t>Нет</t>
        </is>
      </c>
      <c r="K21" t="n">
        <v>3</v>
      </c>
      <c r="L21" t="n">
        <v>18</v>
      </c>
      <c r="M21" t="n">
        <v>1.2</v>
      </c>
      <c r="N21" t="inlineStr">
        <is>
          <t>Function Health, InsideTracker</t>
        </is>
      </c>
      <c r="O21" t="inlineStr">
        <is>
          <t>Health + AI, нужны мед. знания, но технически реализуемо соло</t>
        </is>
      </c>
      <c r="P21" t="inlineStr">
        <is>
          <t>AI-интерпретация медицинских анализов для конкретной группы (спортсмены, 40+)</t>
        </is>
      </c>
      <c r="Q21" t="inlineStr">
        <is>
          <t>ycombinator.com/companies/mito-health</t>
        </is>
      </c>
    </row>
    <row r="22">
      <c r="A22" t="n">
        <v>21</v>
      </c>
      <c r="B22" t="inlineStr">
        <is>
          <t>Voker</t>
        </is>
      </c>
      <c r="C22" t="inlineStr">
        <is>
          <t>S24</t>
        </is>
      </c>
      <c r="D22" t="inlineStr">
        <is>
          <t>AI</t>
        </is>
      </c>
      <c r="E22" t="inlineStr">
        <is>
          <t>No-Code AI Builder</t>
        </is>
      </c>
      <c r="F22" t="inlineStr">
        <is>
          <t>No-code платформа для добавления AI-фич в продукты без инженеров</t>
        </is>
      </c>
      <c r="G22" t="inlineStr">
        <is>
          <t>voker.ai</t>
        </is>
      </c>
      <c r="H22" t="inlineStr">
        <is>
          <t>Активен</t>
        </is>
      </c>
      <c r="I22" t="n">
        <v>2</v>
      </c>
      <c r="J22" t="inlineStr">
        <is>
          <t>Да</t>
        </is>
      </c>
      <c r="K22" t="n">
        <v>5</v>
      </c>
      <c r="L22" t="n">
        <v>28</v>
      </c>
      <c r="M22" t="n">
        <v>1.5</v>
      </c>
      <c r="N22" t="inlineStr">
        <is>
          <t>Builder.ai, Dify</t>
        </is>
      </c>
      <c r="O22" t="inlineStr">
        <is>
          <t>No-code AI builder для продуктовых команд, простой стек, реализуемо соло</t>
        </is>
      </c>
      <c r="P22" t="inlineStr">
        <is>
          <t>No-code AI конструктор для конкретной категории фич: чатботы, рекомендации, поиск</t>
        </is>
      </c>
      <c r="Q22" t="inlineStr">
        <is>
          <t>ycombinator.com/companies/voker</t>
        </is>
      </c>
    </row>
    <row r="23">
      <c r="A23" t="n">
        <v>22</v>
      </c>
      <c r="B23" t="inlineStr">
        <is>
          <t>Vapi</t>
        </is>
      </c>
      <c r="C23" t="inlineStr">
        <is>
          <t>S24</t>
        </is>
      </c>
      <c r="D23" t="inlineStr">
        <is>
          <t>AI</t>
        </is>
      </c>
      <c r="E23" t="inlineStr">
        <is>
          <t>Voice AI</t>
        </is>
      </c>
      <c r="F23" t="inlineStr">
        <is>
          <t>API для создания голосовых AI-агентов: приём звонков, обработка заказов, поддержка</t>
        </is>
      </c>
      <c r="G23" t="inlineStr">
        <is>
          <t>vapi.ai</t>
        </is>
      </c>
      <c r="H23" t="inlineStr">
        <is>
          <t>Активен / Растёт</t>
        </is>
      </c>
      <c r="I23" t="n">
        <v>2</v>
      </c>
      <c r="J23" t="inlineStr">
        <is>
          <t>Да</t>
        </is>
      </c>
      <c r="K23" t="n">
        <v>4</v>
      </c>
      <c r="L23" t="n">
        <v>250</v>
      </c>
      <c r="M23" t="n">
        <v>20</v>
      </c>
      <c r="N23" t="inlineStr">
        <is>
          <t>Bland AI, Retell AI, ElevenLabs</t>
        </is>
      </c>
      <c r="O23" t="inlineStr">
        <is>
          <t>Голосовой AI как API-продукт — высокий спрос, реализуемо разработчиком-одиночкой</t>
        </is>
      </c>
      <c r="P23" t="inlineStr">
        <is>
          <t>Голосовой AI-агент для нишевой индустрии: медицина, юридические фирмы, рестораны</t>
        </is>
      </c>
      <c r="Q23" t="inlineStr">
        <is>
          <t>ycombinator.com/companies/vapi</t>
        </is>
      </c>
    </row>
    <row r="24">
      <c r="A24" t="n">
        <v>23</v>
      </c>
      <c r="B24" t="inlineStr">
        <is>
          <t>Docling</t>
        </is>
      </c>
      <c r="C24" t="inlineStr">
        <is>
          <t>S24</t>
        </is>
      </c>
      <c r="D24" t="inlineStr">
        <is>
          <t>AI</t>
        </is>
      </c>
      <c r="E24" t="inlineStr">
        <is>
          <t>Document Processing</t>
        </is>
      </c>
      <c r="F24" t="inlineStr">
        <is>
          <t>Open-source инструмент для парсинга PDF и документов для обучения AI-моделей</t>
        </is>
      </c>
      <c r="G24" t="inlineStr">
        <is>
          <t>docling.ai</t>
        </is>
      </c>
      <c r="H24" t="inlineStr">
        <is>
          <t>Активен</t>
        </is>
      </c>
      <c r="I24" t="n">
        <v>3</v>
      </c>
      <c r="J24" t="inlineStr">
        <is>
          <t>Да</t>
        </is>
      </c>
      <c r="K24" t="n">
        <v>3</v>
      </c>
      <c r="L24" t="n">
        <v>40</v>
      </c>
      <c r="M24" t="n">
        <v>2</v>
      </c>
      <c r="N24" t="inlineStr">
        <is>
          <t>Unstructured.io, LlamaParse</t>
        </is>
      </c>
      <c r="O24" t="inlineStr">
        <is>
          <t>Open-source с cloud API монетизацией, технический продукт</t>
        </is>
      </c>
      <c r="P24" t="inlineStr">
        <is>
          <t>Document parsing API для конкретного типа документов (договоры, медкарты)</t>
        </is>
      </c>
      <c r="Q24" t="inlineStr">
        <is>
          <t>ycombinator.com/companies/docling</t>
        </is>
      </c>
    </row>
    <row r="25">
      <c r="A25" t="n">
        <v>24</v>
      </c>
      <c r="B25" t="inlineStr">
        <is>
          <t>Browser Use</t>
        </is>
      </c>
      <c r="C25" t="inlineStr">
        <is>
          <t>W25</t>
        </is>
      </c>
      <c r="D25" t="inlineStr">
        <is>
          <t>AI</t>
        </is>
      </c>
      <c r="E25" t="inlineStr">
        <is>
          <t>Developer Tools</t>
        </is>
      </c>
      <c r="F25" t="inlineStr">
        <is>
          <t>Платформа для управления AI-агентами через браузер, телеоперация когда агент застревает</t>
        </is>
      </c>
      <c r="G25" t="inlineStr">
        <is>
          <t>browser-use.com</t>
        </is>
      </c>
      <c r="H25" t="inlineStr">
        <is>
          <t>Активен / Растёт</t>
        </is>
      </c>
      <c r="I25" t="n">
        <v>2</v>
      </c>
      <c r="J25" t="inlineStr">
        <is>
          <t>Да</t>
        </is>
      </c>
      <c r="K25" t="n">
        <v>5</v>
      </c>
      <c r="L25" t="n">
        <v>320</v>
      </c>
      <c r="M25" t="n">
        <v>3</v>
      </c>
      <c r="N25" t="inlineStr">
        <is>
          <t>Playwright, Stagehand, Browserbase</t>
        </is>
      </c>
      <c r="O25" t="inlineStr">
        <is>
          <t>2 фаундера, open-source с 30k+ GitHub stars, монетизация cloud API. Реализуемо соло</t>
        </is>
      </c>
      <c r="P25" t="inlineStr">
        <is>
          <t>AI-браузер-агент для конкретной задачи: мониторинг цен, заполнение форм, скрапинг</t>
        </is>
      </c>
      <c r="Q25" t="inlineStr">
        <is>
          <t>ycombinator.com/companies/browser-use</t>
        </is>
      </c>
    </row>
    <row r="26">
      <c r="A26" t="n">
        <v>25</v>
      </c>
      <c r="B26" t="inlineStr">
        <is>
          <t>Better Auth</t>
        </is>
      </c>
      <c r="C26" t="inlineStr">
        <is>
          <t>W25</t>
        </is>
      </c>
      <c r="D26" t="inlineStr">
        <is>
          <t>Developer Tools</t>
        </is>
      </c>
      <c r="E26" t="inlineStr">
        <is>
          <t>Authentication</t>
        </is>
      </c>
      <c r="F26" t="inlineStr">
        <is>
          <t>Framework-agnostic библиотека аутентификации для TypeScript приложений — замена Clerk/Auth0</t>
        </is>
      </c>
      <c r="G26" t="inlineStr">
        <is>
          <t>better-auth.com</t>
        </is>
      </c>
      <c r="H26" t="inlineStr">
        <is>
          <t>Активен / Растёт</t>
        </is>
      </c>
      <c r="I26" t="n">
        <v>1</v>
      </c>
      <c r="J26" t="inlineStr">
        <is>
          <t>Да</t>
        </is>
      </c>
      <c r="K26" t="n">
        <v>5</v>
      </c>
      <c r="L26" t="n">
        <v>185</v>
      </c>
      <c r="M26" t="n">
        <v>0.5</v>
      </c>
      <c r="N26" t="inlineStr">
        <is>
          <t>Clerk, Auth0, NextAuth</t>
        </is>
      </c>
      <c r="O26" t="inlineStr">
        <is>
          <t>СОЛО-ФАУНДЕР, open-source, 25k+ GitHub stars, монетизация hosted solution</t>
        </is>
      </c>
      <c r="P26" t="inlineStr">
        <is>
          <t>Open-source альтернатива платной auth/billing/analytics библиотеке для разработчиков</t>
        </is>
      </c>
      <c r="Q26" t="inlineStr">
        <is>
          <t>ycombinator.com/companies/better-auth</t>
        </is>
      </c>
    </row>
    <row r="27">
      <c r="A27" t="n">
        <v>26</v>
      </c>
      <c r="B27" t="inlineStr">
        <is>
          <t>assistant-ui</t>
        </is>
      </c>
      <c r="C27" t="inlineStr">
        <is>
          <t>W25</t>
        </is>
      </c>
      <c r="D27" t="inlineStr">
        <is>
          <t>AI</t>
        </is>
      </c>
      <c r="E27" t="inlineStr">
        <is>
          <t>Developer Tools / UI</t>
        </is>
      </c>
      <c r="F27" t="inlineStr">
        <is>
          <t>Open-source React-библиотека для встраивания AI-чата в любое приложение</t>
        </is>
      </c>
      <c r="G27" t="inlineStr">
        <is>
          <t>assistant-ui.com</t>
        </is>
      </c>
      <c r="H27" t="inlineStr">
        <is>
          <t>Активен / Растёт</t>
        </is>
      </c>
      <c r="I27" t="n">
        <v>1</v>
      </c>
      <c r="J27" t="inlineStr">
        <is>
          <t>Да</t>
        </is>
      </c>
      <c r="K27" t="n">
        <v>5</v>
      </c>
      <c r="L27" t="n">
        <v>95</v>
      </c>
      <c r="M27" t="n">
        <v>0.3</v>
      </c>
      <c r="N27" t="inlineStr">
        <is>
          <t>Vercel AI SDK, Chainlit</t>
        </is>
      </c>
      <c r="O27" t="inlineStr">
        <is>
          <t>СОЛО-ФАУНДЕР, open-source React library, 4k+ GitHub stars, монетизация pro-версией</t>
        </is>
      </c>
      <c r="P27" t="inlineStr">
        <is>
          <t>Open-source UI компоненты для AI-интерфейсов (голос, мультимодальность, стриминг)</t>
        </is>
      </c>
      <c r="Q27" t="inlineStr">
        <is>
          <t>ycombinator.com/companies/assistant-ui</t>
        </is>
      </c>
    </row>
    <row r="28">
      <c r="A28" t="n">
        <v>27</v>
      </c>
      <c r="B28" t="inlineStr">
        <is>
          <t>Axal</t>
        </is>
      </c>
      <c r="C28" t="inlineStr">
        <is>
          <t>W25</t>
        </is>
      </c>
      <c r="D28" t="inlineStr">
        <is>
          <t>AI</t>
        </is>
      </c>
      <c r="E28" t="inlineStr">
        <is>
          <t>Developer Tools</t>
        </is>
      </c>
      <c r="F28" t="inlineStr">
        <is>
          <t>AI Software Architect — агент который проектирует архитектуру и пишет код для проекта</t>
        </is>
      </c>
      <c r="G28" t="inlineStr">
        <is>
          <t>axal.dev</t>
        </is>
      </c>
      <c r="H28" t="inlineStr">
        <is>
          <t>Активен</t>
        </is>
      </c>
      <c r="I28" t="n">
        <v>2</v>
      </c>
      <c r="J28" t="inlineStr">
        <is>
          <t>Да</t>
        </is>
      </c>
      <c r="K28" t="n">
        <v>4</v>
      </c>
      <c r="L28" t="n">
        <v>30</v>
      </c>
      <c r="M28" t="n">
        <v>1.5</v>
      </c>
      <c r="N28" t="inlineStr">
        <is>
          <t>Devin, GitHub Copilot, Cursor</t>
        </is>
      </c>
      <c r="O28" t="inlineStr">
        <is>
          <t>AI-coding agent, высокий спрос, реализуемо с глубокими знаниями разработки</t>
        </is>
      </c>
      <c r="P28" t="inlineStr">
        <is>
          <t>AI-архитектор для конкретного стека или типа проектов (мобильные, микросервисы)</t>
        </is>
      </c>
      <c r="Q28" t="inlineStr">
        <is>
          <t>ycombinator.com/companies/axal</t>
        </is>
      </c>
    </row>
    <row r="29">
      <c r="A29" t="n">
        <v>28</v>
      </c>
      <c r="B29" t="inlineStr">
        <is>
          <t>TrainLoop</t>
        </is>
      </c>
      <c r="C29" t="inlineStr">
        <is>
          <t>W25</t>
        </is>
      </c>
      <c r="D29" t="inlineStr">
        <is>
          <t>AI</t>
        </is>
      </c>
      <c r="E29" t="inlineStr">
        <is>
          <t>Developer Tools / ML</t>
        </is>
      </c>
      <c r="F29" t="inlineStr">
        <is>
          <t>Платформа для reasoning fine-tuning LLM моделей — улучшение рассуждений модели</t>
        </is>
      </c>
      <c r="G29" t="inlineStr">
        <is>
          <t>trainloop.ai</t>
        </is>
      </c>
      <c r="H29" t="inlineStr">
        <is>
          <t>Активен</t>
        </is>
      </c>
      <c r="I29" t="n">
        <v>2</v>
      </c>
      <c r="J29" t="inlineStr">
        <is>
          <t>Да</t>
        </is>
      </c>
      <c r="K29" t="n">
        <v>3</v>
      </c>
      <c r="L29" t="n">
        <v>15</v>
      </c>
      <c r="M29" t="n">
        <v>1.5</v>
      </c>
      <c r="N29" t="inlineStr">
        <is>
          <t>OpenPipe, Predibase, Anyscale</t>
        </is>
      </c>
      <c r="O29" t="inlineStr">
        <is>
          <t>ML-экспертиза нужна, технический продукт для AI-команд</t>
        </is>
      </c>
      <c r="P29" t="inlineStr">
        <is>
          <t>Fine-tuning платформа под конкретный домен (код, медицина, финансы)</t>
        </is>
      </c>
      <c r="Q29" t="inlineStr">
        <is>
          <t>ycombinator.com/companies/trainloop</t>
        </is>
      </c>
    </row>
    <row r="30">
      <c r="A30" t="n">
        <v>29</v>
      </c>
      <c r="B30" t="inlineStr">
        <is>
          <t>Cactus</t>
        </is>
      </c>
      <c r="C30" t="inlineStr">
        <is>
          <t>W25</t>
        </is>
      </c>
      <c r="D30" t="inlineStr">
        <is>
          <t>AI</t>
        </is>
      </c>
      <c r="E30" t="inlineStr">
        <is>
          <t>Solopreneur Tools</t>
        </is>
      </c>
      <c r="F30" t="inlineStr">
        <is>
          <t>AI-copilot для самозанятых: отвечает на звонки, квалифицирует лидов, управляет бронированием</t>
        </is>
      </c>
      <c r="G30" t="inlineStr">
        <is>
          <t>oncactus.com</t>
        </is>
      </c>
      <c r="H30" t="inlineStr">
        <is>
          <t>Активен</t>
        </is>
      </c>
      <c r="I30" t="n">
        <v>2</v>
      </c>
      <c r="J30" t="inlineStr">
        <is>
          <t>Да</t>
        </is>
      </c>
      <c r="K30" t="n">
        <v>5</v>
      </c>
      <c r="L30" t="n">
        <v>45</v>
      </c>
      <c r="M30" t="n">
        <v>1.8</v>
      </c>
      <c r="N30" t="inlineStr">
        <is>
          <t>Calendly + AI, Ruby Receptionist</t>
        </is>
      </c>
      <c r="O30" t="inlineStr">
        <is>
          <t>Специально для solopreneurs, узкая ниша с огромным рынком самозанятых</t>
        </is>
      </c>
      <c r="P30" t="inlineStr">
        <is>
          <t>AI-ассистент для конкретной категории самозанятых: фотографы, тренеры, мастера</t>
        </is>
      </c>
      <c r="Q30" t="inlineStr">
        <is>
          <t>ycombinator.com/companies/oncactus</t>
        </is>
      </c>
    </row>
    <row r="31">
      <c r="A31" t="n">
        <v>30</v>
      </c>
      <c r="B31" t="inlineStr">
        <is>
          <t>Den</t>
        </is>
      </c>
      <c r="C31" t="inlineStr">
        <is>
          <t>W25</t>
        </is>
      </c>
      <c r="D31" t="inlineStr">
        <is>
          <t>AI</t>
        </is>
      </c>
      <c r="E31" t="inlineStr">
        <is>
          <t>B2B SaaS / Agents</t>
        </is>
      </c>
      <c r="F31" t="inlineStr">
        <is>
          <t>AI-агенты для нетехнических офисных сотрудников — автоматизация рутинных задач через swarm</t>
        </is>
      </c>
      <c r="G31" t="inlineStr">
        <is>
          <t>den.ai</t>
        </is>
      </c>
      <c r="H31" t="inlineStr">
        <is>
          <t>Активен</t>
        </is>
      </c>
      <c r="I31" t="n">
        <v>2</v>
      </c>
      <c r="J31" t="inlineStr">
        <is>
          <t>Да</t>
        </is>
      </c>
      <c r="K31" t="n">
        <v>3</v>
      </c>
      <c r="L31" t="n">
        <v>20</v>
      </c>
      <c r="M31" t="n">
        <v>2.5</v>
      </c>
      <c r="N31" t="inlineStr">
        <is>
          <t>Zapier AI, Make AI, Relay.app</t>
        </is>
      </c>
      <c r="O31" t="inlineStr">
        <is>
          <t>Enterprise AI агенты — сложнее продавать соло, нужны продажи</t>
        </is>
      </c>
      <c r="P31" t="inlineStr">
        <is>
          <t>AI-агент-оркестратор для конкретного отдела: HR, финансы, логистика</t>
        </is>
      </c>
      <c r="Q31" t="inlineStr">
        <is>
          <t>ycombinator.com/companies/den</t>
        </is>
      </c>
    </row>
    <row r="32">
      <c r="A32" t="n">
        <v>31</v>
      </c>
      <c r="B32" t="inlineStr">
        <is>
          <t>Woz</t>
        </is>
      </c>
      <c r="C32" t="inlineStr">
        <is>
          <t>W25</t>
        </is>
      </c>
      <c r="D32" t="inlineStr">
        <is>
          <t>AI</t>
        </is>
      </c>
      <c r="E32" t="inlineStr">
        <is>
          <t>No-Code App Builder</t>
        </is>
      </c>
      <c r="F32" t="inlineStr">
        <is>
          <t>AI-платформа для создания и масштабирования бизнеса без кода — агенты строят продукт</t>
        </is>
      </c>
      <c r="G32" t="inlineStr">
        <is>
          <t>woz.ai</t>
        </is>
      </c>
      <c r="H32" t="inlineStr">
        <is>
          <t>Активен</t>
        </is>
      </c>
      <c r="I32" t="n">
        <v>3</v>
      </c>
      <c r="J32" t="inlineStr">
        <is>
          <t>Да</t>
        </is>
      </c>
      <c r="K32" t="n">
        <v>3</v>
      </c>
      <c r="L32" t="n">
        <v>35</v>
      </c>
      <c r="M32" t="n">
        <v>3</v>
      </c>
      <c r="N32" t="inlineStr">
        <is>
          <t>Bubble, Glide, Softr</t>
        </is>
      </c>
      <c r="O32" t="inlineStr">
        <is>
          <t>Амбициозный no-code builder с AI, сложная реализация, большая команда нужна</t>
        </is>
      </c>
      <c r="P32" t="inlineStr">
        <is>
          <t>AI-no-code builder для конкретной категории (e-commerce, SaaS, marketplace)</t>
        </is>
      </c>
      <c r="Q32" t="inlineStr">
        <is>
          <t>ycombinator.com/companies/woz</t>
        </is>
      </c>
    </row>
    <row r="33">
      <c r="A33" t="n">
        <v>32</v>
      </c>
      <c r="B33" t="inlineStr">
        <is>
          <t>Unriddle (S24)</t>
        </is>
      </c>
      <c r="C33" t="inlineStr">
        <is>
          <t>S24</t>
        </is>
      </c>
      <c r="D33" t="inlineStr">
        <is>
          <t>AI</t>
        </is>
      </c>
      <c r="E33" t="inlineStr">
        <is>
          <t>Education / Research</t>
        </is>
      </c>
      <c r="F33" t="inlineStr">
        <is>
          <t>Расширенная версия: AI-ассистент для работы с множеством научных статей одновременно</t>
        </is>
      </c>
      <c r="G33" t="inlineStr">
        <is>
          <t>unriddle.ai</t>
        </is>
      </c>
      <c r="H33" t="inlineStr">
        <is>
          <t>Активен / Растёт</t>
        </is>
      </c>
      <c r="I33" t="n">
        <v>2</v>
      </c>
      <c r="J33" t="inlineStr">
        <is>
          <t>Да</t>
        </is>
      </c>
      <c r="K33" t="n">
        <v>4</v>
      </c>
      <c r="L33" t="n">
        <v>334</v>
      </c>
      <c r="M33" t="n">
        <v>2</v>
      </c>
      <c r="N33" t="inlineStr">
        <is>
          <t>Elicit, SciSpace, Consensus</t>
        </is>
      </c>
      <c r="O33" t="inlineStr">
        <is>
          <t>334k трафика, узкая ниша, реализуемо соло, высокий спрос среди студентов</t>
        </is>
      </c>
      <c r="P33" t="inlineStr">
        <is>
          <t>AI для работы с корпусом документов в конкретной области: патенты, кейсы, нормативы</t>
        </is>
      </c>
      <c r="Q33" t="inlineStr">
        <is>
          <t>ycombinator.com/companies/unriddle-yc-s24</t>
        </is>
      </c>
    </row>
    <row r="34">
      <c r="A34" t="n">
        <v>33</v>
      </c>
      <c r="B34" t="inlineStr">
        <is>
          <t>Vly.ai</t>
        </is>
      </c>
      <c r="C34" t="inlineStr">
        <is>
          <t>F24</t>
        </is>
      </c>
      <c r="D34" t="inlineStr">
        <is>
          <t>AI</t>
        </is>
      </c>
      <c r="E34" t="inlineStr">
        <is>
          <t>No-Code App Builder</t>
        </is>
      </c>
      <c r="F34" t="inlineStr">
        <is>
          <t>No-code платформа для full-stack веб-приложений с нативными auth, базой данных, хранилищем</t>
        </is>
      </c>
      <c r="G34" t="inlineStr">
        <is>
          <t>vly.ai</t>
        </is>
      </c>
      <c r="H34" t="inlineStr">
        <is>
          <t>Активен</t>
        </is>
      </c>
      <c r="I34" t="n">
        <v>2</v>
      </c>
      <c r="J34" t="inlineStr">
        <is>
          <t>Да</t>
        </is>
      </c>
      <c r="K34" t="n">
        <v>5</v>
      </c>
      <c r="L34" t="n">
        <v>60</v>
      </c>
      <c r="M34" t="n">
        <v>0.5</v>
      </c>
      <c r="N34" t="inlineStr">
        <is>
          <t>Bubble, Webflow, Glide</t>
        </is>
      </c>
      <c r="O34" t="inlineStr">
        <is>
          <t>Full-stack no-code с AI, $500K+ без крупного раунда, реализуемо соло</t>
        </is>
      </c>
      <c r="P34" t="inlineStr">
        <is>
          <t>Вертикальный no-code builder для конкретной индустрии (медицина, реалтор, HR)</t>
        </is>
      </c>
      <c r="Q34" t="inlineStr">
        <is>
          <t>ycombinator.com/companies/vly-ai</t>
        </is>
      </c>
    </row>
    <row r="35">
      <c r="A35" t="n">
        <v>34</v>
      </c>
      <c r="B35" t="inlineStr">
        <is>
          <t>StarSling</t>
        </is>
      </c>
      <c r="C35" t="inlineStr">
        <is>
          <t>S25</t>
        </is>
      </c>
      <c r="D35" t="inlineStr">
        <is>
          <t>AI</t>
        </is>
      </c>
      <c r="E35" t="inlineStr">
        <is>
          <t>DevOps Tools</t>
        </is>
      </c>
      <c r="F35" t="inlineStr">
        <is>
          <t>AI для DevOps — автоматизирует деплои, исправляет баги, управляет инфраструктурой</t>
        </is>
      </c>
      <c r="G35" t="inlineStr">
        <is>
          <t>starsling.dev</t>
        </is>
      </c>
      <c r="H35" t="inlineStr">
        <is>
          <t>Активен</t>
        </is>
      </c>
      <c r="I35" t="n">
        <v>1</v>
      </c>
      <c r="J35" t="inlineStr">
        <is>
          <t>Да</t>
        </is>
      </c>
      <c r="K35" t="n">
        <v>5</v>
      </c>
      <c r="L35" t="n">
        <v>12</v>
      </c>
      <c r="M35" t="n">
        <v>1</v>
      </c>
      <c r="N35" t="inlineStr">
        <is>
          <t>PagerDuty + AI, Cortex, OpsLevel</t>
        </is>
      </c>
      <c r="O35" t="inlineStr">
        <is>
          <t>СОЛО-ФАУНДЕР, ex-основатель StackShare ($1M ARR exit), технически реализуемо соло</t>
        </is>
      </c>
      <c r="P35" t="inlineStr">
        <is>
          <t>AI-SRE ассистент для небольших команд без DevOps-инженера</t>
        </is>
      </c>
      <c r="Q35" t="inlineStr">
        <is>
          <t>ycombinator.com/companies/starsling</t>
        </is>
      </c>
    </row>
    <row r="36">
      <c r="A36" t="n">
        <v>35</v>
      </c>
      <c r="B36" t="inlineStr">
        <is>
          <t>FuseAI</t>
        </is>
      </c>
      <c r="C36" t="inlineStr">
        <is>
          <t>W25</t>
        </is>
      </c>
      <c r="D36" t="inlineStr">
        <is>
          <t>AI</t>
        </is>
      </c>
      <c r="E36" t="inlineStr">
        <is>
          <t>Sales Automation</t>
        </is>
      </c>
      <c r="F36" t="inlineStr">
        <is>
          <t>AI-автоматизация продаж: персонализированный outreach, квалификация лидов, follow-up</t>
        </is>
      </c>
      <c r="G36" t="inlineStr">
        <is>
          <t>fuseai.io</t>
        </is>
      </c>
      <c r="H36" t="inlineStr">
        <is>
          <t>Активен</t>
        </is>
      </c>
      <c r="I36" t="n">
        <v>2</v>
      </c>
      <c r="J36" t="inlineStr">
        <is>
          <t>Да</t>
        </is>
      </c>
      <c r="K36" t="n">
        <v>3</v>
      </c>
      <c r="L36" t="n">
        <v>25</v>
      </c>
      <c r="M36" t="n">
        <v>2</v>
      </c>
      <c r="N36" t="inlineStr">
        <is>
          <t>Clay, Apollo.io AI, Outreach AI</t>
        </is>
      </c>
      <c r="O36" t="inlineStr">
        <is>
          <t>AI sales — конкурентный рынок, сложно продавать enterprise соло</t>
        </is>
      </c>
      <c r="P36" t="inlineStr">
        <is>
          <t>AI-outreach для конкретной ниши продаж (devtools, SaaS, агентства)</t>
        </is>
      </c>
      <c r="Q36" t="inlineStr">
        <is>
          <t>ycombinator.com/companies/fuseai</t>
        </is>
      </c>
    </row>
    <row r="37">
      <c r="A37" t="n">
        <v>36</v>
      </c>
      <c r="B37" t="inlineStr">
        <is>
          <t>Artifact IDE</t>
        </is>
      </c>
      <c r="C37" t="inlineStr">
        <is>
          <t>W25</t>
        </is>
      </c>
      <c r="D37" t="inlineStr">
        <is>
          <t>AI</t>
        </is>
      </c>
      <c r="E37" t="inlineStr">
        <is>
          <t>Developer Tools / Hardware</t>
        </is>
      </c>
      <c r="F37" t="inlineStr">
        <is>
          <t>AI-нативная IDE для инженеров по hardware — проектирование схем, PCB, симуляции</t>
        </is>
      </c>
      <c r="G37" t="inlineStr">
        <is>
          <t>artifact.dev</t>
        </is>
      </c>
      <c r="H37" t="inlineStr">
        <is>
          <t>Активен</t>
        </is>
      </c>
      <c r="I37" t="n">
        <v>2</v>
      </c>
      <c r="J37" t="inlineStr">
        <is>
          <t>Да</t>
        </is>
      </c>
      <c r="K37" t="n">
        <v>3</v>
      </c>
      <c r="L37" t="n">
        <v>8</v>
      </c>
      <c r="M37" t="n">
        <v>1.5</v>
      </c>
      <c r="N37" t="inlineStr">
        <is>
          <t>Altium, KiCad + AI</t>
        </is>
      </c>
      <c r="O37" t="inlineStr">
        <is>
          <t>Узкая ниша hardware engineering, требует глубокой экспертизы в EDA</t>
        </is>
      </c>
      <c r="P37" t="inlineStr">
        <is>
          <t>AI-IDE для нишевого типа инженеров: химики, биологи, механики</t>
        </is>
      </c>
      <c r="Q37" t="inlineStr">
        <is>
          <t>ycombinator.com/companies/artifact</t>
        </is>
      </c>
    </row>
    <row r="38">
      <c r="A38" t="n">
        <v>37</v>
      </c>
      <c r="B38" t="inlineStr">
        <is>
          <t>Solidroad</t>
        </is>
      </c>
      <c r="C38" t="inlineStr">
        <is>
          <t>W25</t>
        </is>
      </c>
      <c r="D38" t="inlineStr">
        <is>
          <t>AI</t>
        </is>
      </c>
      <c r="E38" t="inlineStr">
        <is>
          <t>Sales Enablement</t>
        </is>
      </c>
      <c r="F38" t="inlineStr">
        <is>
          <t>AI-тренажёр для отработки продажных звонков — ролевые игры с AI-покупателем</t>
        </is>
      </c>
      <c r="G38" t="inlineStr">
        <is>
          <t>solidroad.ai</t>
        </is>
      </c>
      <c r="H38" t="inlineStr">
        <is>
          <t>Активен</t>
        </is>
      </c>
      <c r="I38" t="n">
        <v>2</v>
      </c>
      <c r="J38" t="inlineStr">
        <is>
          <t>Да</t>
        </is>
      </c>
      <c r="K38" t="n">
        <v>4</v>
      </c>
      <c r="L38" t="n">
        <v>18</v>
      </c>
      <c r="M38" t="n">
        <v>1.5</v>
      </c>
      <c r="N38" t="inlineStr">
        <is>
          <t>Gong, Chorus, Allego</t>
        </is>
      </c>
      <c r="O38" t="inlineStr">
        <is>
          <t>AI role-play симулятор — реализуемо соло, высокий спрос в B2B sales командах</t>
        </is>
      </c>
      <c r="P38" t="inlineStr">
        <is>
          <t>AI-симулятор для тренировки переговоров/интервью/презентаций</t>
        </is>
      </c>
      <c r="Q38" t="inlineStr">
        <is>
          <t>ycombinator.com/companies/solidroad</t>
        </is>
      </c>
    </row>
    <row r="39">
      <c r="A39" t="n">
        <v>38</v>
      </c>
      <c r="B39" t="inlineStr">
        <is>
          <t>Cuckoo</t>
        </is>
      </c>
      <c r="C39" t="inlineStr">
        <is>
          <t>W25</t>
        </is>
      </c>
      <c r="D39" t="inlineStr">
        <is>
          <t>AI</t>
        </is>
      </c>
      <c r="E39" t="inlineStr">
        <is>
          <t>Productivity / Communication</t>
        </is>
      </c>
      <c r="F39" t="inlineStr">
        <is>
          <t>AI перевод в реальном времени для международных встреч — синхронный переводчик</t>
        </is>
      </c>
      <c r="G39" t="inlineStr">
        <is>
          <t>cuckoo.network</t>
        </is>
      </c>
      <c r="H39" t="inlineStr">
        <is>
          <t>Активен</t>
        </is>
      </c>
      <c r="I39" t="n">
        <v>2</v>
      </c>
      <c r="J39" t="inlineStr">
        <is>
          <t>Да</t>
        </is>
      </c>
      <c r="K39" t="n">
        <v>4</v>
      </c>
      <c r="L39" t="n">
        <v>30</v>
      </c>
      <c r="M39" t="n">
        <v>2</v>
      </c>
      <c r="N39" t="inlineStr">
        <is>
          <t>Kudo, Interprefy, Google Meet AI</t>
        </is>
      </c>
      <c r="O39" t="inlineStr">
        <is>
          <t>Узкая ниша синхронного перевода, реализуемо соло через API, растущий рынок</t>
        </is>
      </c>
      <c r="P39" t="inlineStr">
        <is>
          <t>AI-переводчик для конкретного рынка (встречи, судебные заседания, медицина)</t>
        </is>
      </c>
      <c r="Q39" t="inlineStr">
        <is>
          <t>ycombinator.com/companies/cuckoo</t>
        </is>
      </c>
    </row>
    <row r="40">
      <c r="A40" t="n">
        <v>39</v>
      </c>
      <c r="B40" t="inlineStr">
        <is>
          <t>Ergo</t>
        </is>
      </c>
      <c r="C40" t="inlineStr">
        <is>
          <t>W25</t>
        </is>
      </c>
      <c r="D40" t="inlineStr">
        <is>
          <t>AI</t>
        </is>
      </c>
      <c r="E40" t="inlineStr">
        <is>
          <t>Legal Tech</t>
        </is>
      </c>
      <c r="F40" t="inlineStr">
        <is>
          <t>AI-ассистент для юридических исследований — анализ дел, прецедентов, составление кратких</t>
        </is>
      </c>
      <c r="G40" t="inlineStr">
        <is>
          <t>ergo.legal</t>
        </is>
      </c>
      <c r="H40" t="inlineStr">
        <is>
          <t>Активен</t>
        </is>
      </c>
      <c r="I40" t="n">
        <v>2</v>
      </c>
      <c r="J40" t="inlineStr">
        <is>
          <t>Да</t>
        </is>
      </c>
      <c r="K40" t="n">
        <v>4</v>
      </c>
      <c r="L40" t="n">
        <v>22</v>
      </c>
      <c r="M40" t="n">
        <v>2.5</v>
      </c>
      <c r="N40" t="inlineStr">
        <is>
          <t>Harvey AI, Lexis Nexis AI</t>
        </is>
      </c>
      <c r="O40" t="inlineStr">
        <is>
          <t>Legal AI — реализуемо соло технически, нужен доступ к юридическим базам данных</t>
        </is>
      </c>
      <c r="P40" t="inlineStr">
        <is>
          <t>AI-ассистент для нишевой юридической области: недвижимость, ИП, патенты</t>
        </is>
      </c>
      <c r="Q40" t="inlineStr">
        <is>
          <t>ycombinator.com/companies/ergo</t>
        </is>
      </c>
    </row>
    <row r="41">
      <c r="A41" t="n">
        <v>40</v>
      </c>
      <c r="B41" t="inlineStr">
        <is>
          <t>Outlit</t>
        </is>
      </c>
      <c r="C41" t="inlineStr">
        <is>
          <t>W25</t>
        </is>
      </c>
      <c r="D41" t="inlineStr">
        <is>
          <t>AI</t>
        </is>
      </c>
      <c r="E41" t="inlineStr">
        <is>
          <t>Sales / Contracts</t>
        </is>
      </c>
      <c r="F41" t="inlineStr">
        <is>
          <t>AI-автоматизация коммерческих контрактов: переговоры, редлайнинг, одобрение</t>
        </is>
      </c>
      <c r="G41" t="inlineStr">
        <is>
          <t>outlit.ai</t>
        </is>
      </c>
      <c r="H41" t="inlineStr">
        <is>
          <t>Активен</t>
        </is>
      </c>
      <c r="I41" t="n">
        <v>2</v>
      </c>
      <c r="J41" t="inlineStr">
        <is>
          <t>Да</t>
        </is>
      </c>
      <c r="K41" t="n">
        <v>3</v>
      </c>
      <c r="L41" t="n">
        <v>15</v>
      </c>
      <c r="M41" t="n">
        <v>2</v>
      </c>
      <c r="N41" t="inlineStr">
        <is>
          <t>Ironclad, LinkSquares, Juro</t>
        </is>
      </c>
      <c r="O41" t="inlineStr">
        <is>
          <t>Contract AI — B2B enterprise продажи сложны соло, но реализация возможна</t>
        </is>
      </c>
      <c r="P41" t="inlineStr">
        <is>
          <t>AI для управления конкретным типом документов: NDA, SLA, аренда</t>
        </is>
      </c>
      <c r="Q41" t="inlineStr">
        <is>
          <t>ycombinator.com/companies/outlit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Ранг</t>
        </is>
      </c>
      <c r="B1" s="2" t="inlineStr">
        <is>
          <t>Название</t>
        </is>
      </c>
      <c r="C1" s="2" t="inlineStr">
        <is>
          <t>Батч</t>
        </is>
      </c>
      <c r="D1" s="2" t="inlineStr">
        <is>
          <t>Сектор</t>
        </is>
      </c>
      <c r="E1" s="2" t="inlineStr">
        <is>
          <t>Суть идеи вкратце</t>
        </is>
      </c>
      <c r="F1" s="2" t="inlineStr">
        <is>
          <t>Почему подходит соло-разрабчику</t>
        </is>
      </c>
      <c r="G1" s="2" t="inlineStr">
        <is>
          <t>Соло-оценка (1-5)</t>
        </is>
      </c>
      <c r="H1" s="2" t="inlineStr">
        <is>
          <t>Потенциал роста</t>
        </is>
      </c>
      <c r="I1" s="2" t="inlineStr">
        <is>
          <t>Сложность реализации</t>
        </is>
      </c>
      <c r="J1" s="2" t="inlineStr">
        <is>
          <t>Стек для старта</t>
        </is>
      </c>
      <c r="K1" s="2" t="inlineStr">
        <is>
          <t>Монетизация</t>
        </is>
      </c>
      <c r="L1" s="2" t="inlineStr">
        <is>
          <t>Идея-адаптация для тебя</t>
        </is>
      </c>
    </row>
    <row r="2">
      <c r="A2" t="n">
        <v>1</v>
      </c>
      <c r="B2" t="inlineStr">
        <is>
          <t>Better Auth</t>
        </is>
      </c>
      <c r="C2" t="inlineStr">
        <is>
          <t>W25</t>
        </is>
      </c>
      <c r="D2" t="inlineStr">
        <is>
          <t>Developer Tools</t>
        </is>
      </c>
      <c r="E2" t="inlineStr">
        <is>
          <t>Библиотека аутентификации для TypeScript</t>
        </is>
      </c>
      <c r="F2" t="inlineStr">
        <is>
          <t>25k+ GitHub stars за рекордное время, СОЛО-фаундер, open-source + hosted plan</t>
        </is>
      </c>
      <c r="G2" t="n">
        <v>5</v>
      </c>
      <c r="H2" t="inlineStr">
        <is>
          <t>Очень высокий</t>
        </is>
      </c>
      <c r="I2" t="inlineStr">
        <is>
          <t>Низкая (TypeScript)</t>
        </is>
      </c>
      <c r="J2" t="inlineStr">
        <is>
          <t>TypeScript + Node.js</t>
        </is>
      </c>
      <c r="K2" t="inlineStr">
        <is>
          <t>Freemium / SaaS hosted</t>
        </is>
      </c>
      <c r="L2" t="inlineStr">
        <is>
          <t>Open-source альтернатива Clerk/Auth0 для Rust, Go, Python экосистемы</t>
        </is>
      </c>
    </row>
    <row r="3">
      <c r="A3" t="n">
        <v>2</v>
      </c>
      <c r="B3" t="inlineStr">
        <is>
          <t>assistant-ui</t>
        </is>
      </c>
      <c r="C3" t="inlineStr">
        <is>
          <t>W25</t>
        </is>
      </c>
      <c r="D3" t="inlineStr">
        <is>
          <t>AI / Developer Tools</t>
        </is>
      </c>
      <c r="E3" t="inlineStr">
        <is>
          <t>Открытая React-библиотека для AI-чата</t>
        </is>
      </c>
      <c r="F3" t="inlineStr">
        <is>
          <t>СОЛО-фаундер, 4k+ GitHub stars, open-source с pro-plan</t>
        </is>
      </c>
      <c r="G3" t="n">
        <v>5</v>
      </c>
      <c r="H3" t="inlineStr">
        <is>
          <t>Высокий</t>
        </is>
      </c>
      <c r="I3" t="inlineStr">
        <is>
          <t>Низкая (React)</t>
        </is>
      </c>
      <c r="J3" t="inlineStr">
        <is>
          <t>React + TypeScript</t>
        </is>
      </c>
      <c r="K3" t="inlineStr">
        <is>
          <t>Open-source + Pro SaaS</t>
        </is>
      </c>
      <c r="L3" t="inlineStr">
        <is>
          <t>UI-кит для AI-интерфейсов: голос, мультимодальность, визуализация данных</t>
        </is>
      </c>
    </row>
    <row r="4">
      <c r="A4" t="n">
        <v>3</v>
      </c>
      <c r="B4" t="inlineStr">
        <is>
          <t>StarSling</t>
        </is>
      </c>
      <c r="C4" t="inlineStr">
        <is>
          <t>S25</t>
        </is>
      </c>
      <c r="D4" t="inlineStr">
        <is>
          <t>AI / DevOps</t>
        </is>
      </c>
      <c r="E4" t="inlineStr">
        <is>
          <t>AI-ассистент для DevOps и инфраструктуры</t>
        </is>
      </c>
      <c r="F4" t="inlineStr">
        <is>
          <t>СОЛО-фаундер с track record ($1M ARR exit), огромный рынок SMB/SaaS</t>
        </is>
      </c>
      <c r="G4" t="n">
        <v>5</v>
      </c>
      <c r="H4" t="inlineStr">
        <is>
          <t>Высокий</t>
        </is>
      </c>
      <c r="I4" t="inlineStr">
        <is>
          <t>Средняя (API + AI)</t>
        </is>
      </c>
      <c r="J4" t="inlineStr">
        <is>
          <t>Python/Go + LLM APIs</t>
        </is>
      </c>
      <c r="K4" t="inlineStr">
        <is>
          <t>SaaS per seat</t>
        </is>
      </c>
      <c r="L4" t="inlineStr">
        <is>
          <t>AI-ассистент для небольших SaaS-команд: CI/CD, monitoring, on-call</t>
        </is>
      </c>
    </row>
    <row r="5">
      <c r="A5" t="n">
        <v>4</v>
      </c>
      <c r="B5" t="inlineStr">
        <is>
          <t>Browser Use</t>
        </is>
      </c>
      <c r="C5" t="inlineStr">
        <is>
          <t>W25</t>
        </is>
      </c>
      <c r="D5" t="inlineStr">
        <is>
          <t>AI / DevTools</t>
        </is>
      </c>
      <c r="E5" t="inlineStr">
        <is>
          <t>Браузер автоматизация для AI-агентов</t>
        </is>
      </c>
      <c r="F5" t="inlineStr">
        <is>
          <t>2 фаундера, open-source 30k+ stars, cloud API для монетизации, высокий спрос</t>
        </is>
      </c>
      <c r="G5" t="n">
        <v>5</v>
      </c>
      <c r="H5" t="inlineStr">
        <is>
          <t>Очень высокий</t>
        </is>
      </c>
      <c r="I5" t="inlineStr">
        <is>
          <t>Средняя (Playwright + LLM)</t>
        </is>
      </c>
      <c r="J5" t="inlineStr">
        <is>
          <t>Python + Playwright + LLM</t>
        </is>
      </c>
      <c r="K5" t="inlineStr">
        <is>
          <t>API pay-per-use</t>
        </is>
      </c>
      <c r="L5" t="inlineStr">
        <is>
          <t>AI-браузер-агент для конкретной задачи: мониторинг цен, заполнение форм, скрапинг</t>
        </is>
      </c>
    </row>
    <row r="6">
      <c r="A6" t="n">
        <v>5</v>
      </c>
      <c r="B6" t="inlineStr">
        <is>
          <t>Gumloop</t>
        </is>
      </c>
      <c r="C6" t="inlineStr">
        <is>
          <t>W24</t>
        </is>
      </c>
      <c r="D6" t="inlineStr">
        <is>
          <t>AI / No-Code</t>
        </is>
      </c>
      <c r="E6" t="inlineStr">
        <is>
          <t>No-code drag-and-drop AI воркфлоу</t>
        </is>
      </c>
      <c r="F6" t="inlineStr">
        <is>
          <t>2 фаундера, $17M Series A, 95k+ трафик, высокий спрос, шаблон для подражания</t>
        </is>
      </c>
      <c r="G6" t="n">
        <v>5</v>
      </c>
      <c r="H6" t="inlineStr">
        <is>
          <t>Очень высокий</t>
        </is>
      </c>
      <c r="I6" t="inlineStr">
        <is>
          <t>Средняя (нужны drag-and-drop + API)</t>
        </is>
      </c>
      <c r="J6" t="inlineStr">
        <is>
          <t>React + Node.js + LLM APIs</t>
        </is>
      </c>
      <c r="K6" t="inlineStr">
        <is>
          <t>Freemium SaaS</t>
        </is>
      </c>
      <c r="L6" t="inlineStr">
        <is>
          <t>No-code AI автоматизация для конкретной вертикали (HR, бухгалтерия, реалторы)</t>
        </is>
      </c>
    </row>
    <row r="7">
      <c r="A7" t="n">
        <v>6</v>
      </c>
      <c r="B7" t="inlineStr">
        <is>
          <t>NextUI</t>
        </is>
      </c>
      <c r="C7" t="inlineStr">
        <is>
          <t>S24</t>
        </is>
      </c>
      <c r="D7" t="inlineStr">
        <is>
          <t>Developer Tools</t>
        </is>
      </c>
      <c r="E7" t="inlineStr">
        <is>
          <t>React UI-кит с Tailwind CSS</t>
        </is>
      </c>
      <c r="F7" t="inlineStr">
        <is>
          <t>665k трафик/месяц, open-source, pro-версия, реализуется соло</t>
        </is>
      </c>
      <c r="G7" t="n">
        <v>5</v>
      </c>
      <c r="H7" t="inlineStr">
        <is>
          <t>Высокий</t>
        </is>
      </c>
      <c r="I7" t="inlineStr">
        <is>
          <t>Низкая</t>
        </is>
      </c>
      <c r="J7" t="inlineStr">
        <is>
          <t>React + TypeScript</t>
        </is>
      </c>
      <c r="K7" t="inlineStr">
        <is>
          <t>Open-source + Pro plan</t>
        </is>
      </c>
      <c r="L7" t="inlineStr">
        <is>
          <t>UI-кит для конкретного фреймворка или стека (Next.js, SvelteKit, SolidJS)</t>
        </is>
      </c>
    </row>
    <row r="8">
      <c r="A8" t="n">
        <v>7</v>
      </c>
      <c r="B8" t="inlineStr">
        <is>
          <t>Wordware</t>
        </is>
      </c>
      <c r="C8" t="inlineStr">
        <is>
          <t>S24</t>
        </is>
      </c>
      <c r="D8" t="inlineStr">
        <is>
          <t>AI / No-Code</t>
        </is>
      </c>
      <c r="E8" t="inlineStr">
        <is>
          <t>AI-билдер через plain English</t>
        </is>
      </c>
      <c r="F8" t="inlineStr">
        <is>
          <t>587k трафик/месяц, no-code AI builder, 2 фаундера, реализуемо соло</t>
        </is>
      </c>
      <c r="G8" t="n">
        <v>5</v>
      </c>
      <c r="H8" t="inlineStr">
        <is>
          <t>Очень высокий</t>
        </is>
      </c>
      <c r="I8" t="inlineStr">
        <is>
          <t>Средняя</t>
        </is>
      </c>
      <c r="J8" t="inlineStr">
        <is>
          <t>Next.js + LangChain + LLM APIs</t>
        </is>
      </c>
      <c r="K8" t="inlineStr">
        <is>
          <t>Freemium SaaS</t>
        </is>
      </c>
      <c r="L8" t="inlineStr">
        <is>
          <t>AI-builder для конкретной профессии: учителя, юристы, HR-специалисты</t>
        </is>
      </c>
    </row>
    <row r="9">
      <c r="A9" t="n">
        <v>8</v>
      </c>
      <c r="B9" t="inlineStr">
        <is>
          <t>Cactus</t>
        </is>
      </c>
      <c r="C9" t="inlineStr">
        <is>
          <t>W25</t>
        </is>
      </c>
      <c r="D9" t="inlineStr">
        <is>
          <t>AI / Solopreneur</t>
        </is>
      </c>
      <c r="E9" t="inlineStr">
        <is>
          <t>AI-copilot для самозанятых</t>
        </is>
      </c>
      <c r="F9" t="inlineStr">
        <is>
          <t>2 фаундера, узкая ниша solopreneurs, высокий спрос, реализуемо соло</t>
        </is>
      </c>
      <c r="G9" t="n">
        <v>5</v>
      </c>
      <c r="H9" t="inlineStr">
        <is>
          <t>Высокий</t>
        </is>
      </c>
      <c r="I9" t="inlineStr">
        <is>
          <t>Низкая</t>
        </is>
      </c>
      <c r="J9" t="inlineStr">
        <is>
          <t>Next.js + Voice API + LLM</t>
        </is>
      </c>
      <c r="K9" t="inlineStr">
        <is>
          <t>SaaS подписка</t>
        </is>
      </c>
      <c r="L9" t="inlineStr">
        <is>
          <t>AI-ассистент для конкретной категории самозанятых: фотографы, тренеры, мастера</t>
        </is>
      </c>
    </row>
    <row r="10">
      <c r="A10" t="n">
        <v>9</v>
      </c>
      <c r="B10" t="inlineStr">
        <is>
          <t>Vapi</t>
        </is>
      </c>
      <c r="C10" t="inlineStr">
        <is>
          <t>S24</t>
        </is>
      </c>
      <c r="D10" t="inlineStr">
        <is>
          <t>AI / Voice</t>
        </is>
      </c>
      <c r="E10" t="inlineStr">
        <is>
          <t>Voice AI API для разработчиков</t>
        </is>
      </c>
      <c r="F10" t="inlineStr">
        <is>
          <t>2 фаундера, 250k трафик, $20M+ funding, API-модель, реализуемо разрабчиком-одиночкой</t>
        </is>
      </c>
      <c r="G10" t="n">
        <v>4</v>
      </c>
      <c r="H10" t="inlineStr">
        <is>
          <t>Очень высокий</t>
        </is>
      </c>
      <c r="I10" t="inlineStr">
        <is>
          <t>Средняя</t>
        </is>
      </c>
      <c r="J10" t="inlineStr">
        <is>
          <t>Node.js + Voice TTS + LLM</t>
        </is>
      </c>
      <c r="K10" t="inlineStr">
        <is>
          <t>Pay-per-minute API</t>
        </is>
      </c>
      <c r="L10" t="inlineStr">
        <is>
          <t>Голосовой AI-агент для нишевой индустрии: медицина, юридические фирмы, рестораны</t>
        </is>
      </c>
    </row>
    <row r="11">
      <c r="A11" t="n">
        <v>10</v>
      </c>
      <c r="B11" t="inlineStr">
        <is>
          <t>Tremor</t>
        </is>
      </c>
      <c r="C11" t="inlineStr">
        <is>
          <t>S23</t>
        </is>
      </c>
      <c r="D11" t="inlineStr">
        <is>
          <t>Developer Tools</t>
        </is>
      </c>
      <c r="E11" t="inlineStr">
        <is>
          <t>Дашборд-компоненты для React</t>
        </is>
      </c>
      <c r="F11" t="inlineStr">
        <is>
          <t>120k трафик, open-source, 2 фаундера, pro-версия, реализуемо соло</t>
        </is>
      </c>
      <c r="G11" t="n">
        <v>5</v>
      </c>
      <c r="H11" t="inlineStr">
        <is>
          <t>Высокий</t>
        </is>
      </c>
      <c r="I11" t="inlineStr">
        <is>
          <t>Низкая</t>
        </is>
      </c>
      <c r="J11" t="inlineStr">
        <is>
          <t>React + TypeScript</t>
        </is>
      </c>
      <c r="K11" t="inlineStr">
        <is>
          <t>Open-source + Pro SaaS</t>
        </is>
      </c>
      <c r="L11" t="inlineStr">
        <is>
          <t>Dashboard / analytics UI kit для конкретной отрасли (fintech, healthtech, logistics)</t>
        </is>
      </c>
    </row>
    <row r="12">
      <c r="A12" t="n">
        <v>11</v>
      </c>
      <c r="B12" t="inlineStr">
        <is>
          <t>Krea</t>
        </is>
      </c>
      <c r="C12" t="inlineStr">
        <is>
          <t>S23</t>
        </is>
      </c>
      <c r="D12" t="inlineStr">
        <is>
          <t>AI / Creative</t>
        </is>
      </c>
      <c r="E12" t="inlineStr">
        <is>
          <t>AI-редактор изображений в реальном времени</t>
        </is>
      </c>
      <c r="F12" t="inlineStr">
        <is>
          <t>2 фаундера, 380k трафик, $2.5M, нишевый AI для дизайнеров, реализуемо соло</t>
        </is>
      </c>
      <c r="G12" t="n">
        <v>4</v>
      </c>
      <c r="H12" t="inlineStr">
        <is>
          <t>Высокий</t>
        </is>
      </c>
      <c r="I12" t="inlineStr">
        <is>
          <t>Средняя</t>
        </is>
      </c>
      <c r="J12" t="inlineStr">
        <is>
          <t>React + Stable Diffusion API</t>
        </is>
      </c>
      <c r="K12" t="inlineStr">
        <is>
          <t>Freemium / Pro подписка</t>
        </is>
      </c>
      <c r="L12" t="inlineStr">
        <is>
          <t>AI-инструмент для конкретной профессии: архитекторы, модельеры, концепт арт</t>
        </is>
      </c>
    </row>
    <row r="13">
      <c r="A13" t="n">
        <v>12</v>
      </c>
      <c r="B13" t="inlineStr">
        <is>
          <t>Solidroad</t>
        </is>
      </c>
      <c r="C13" t="inlineStr">
        <is>
          <t>W25</t>
        </is>
      </c>
      <c r="D13" t="inlineStr">
        <is>
          <t>AI / Sales</t>
        </is>
      </c>
      <c r="E13" t="inlineStr">
        <is>
          <t>AI-тренажёр продажных звонков</t>
        </is>
      </c>
      <c r="F13" t="inlineStr">
        <is>
          <t>2 фаундера, role-play AI симулятор, реализуемо соло, высокий спрос</t>
        </is>
      </c>
      <c r="G13" t="n">
        <v>4</v>
      </c>
      <c r="H13" t="inlineStr">
        <is>
          <t>Высокий</t>
        </is>
      </c>
      <c r="I13" t="inlineStr">
        <is>
          <t>Средняя</t>
        </is>
      </c>
      <c r="J13" t="inlineStr">
        <is>
          <t>React + LLM Voice API</t>
        </is>
      </c>
      <c r="K13" t="inlineStr">
        <is>
          <t>SaaS per seat</t>
        </is>
      </c>
      <c r="L13" t="inlineStr">
        <is>
          <t>AI-симулятор переговоров для тренировки навыков: интервью, презентации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>
        <f>== РАСПРЕДЕЛЕНИЕ ПО СЕКТОРАМ ===</f>
        <v/>
      </c>
      <c r="F1">
        <f>== TOP-10 BY TRAFFIC (k/month) ===</f>
        <v/>
      </c>
    </row>
    <row r="2">
      <c r="A2" t="inlineStr">
        <is>
          <t>Сектор</t>
        </is>
      </c>
      <c r="B2" t="inlineStr">
        <is>
          <t>Кол-во стартапов</t>
        </is>
      </c>
      <c r="C2" t="inlineStr">
        <is>
          <t>Доля %</t>
        </is>
      </c>
      <c r="F2" t="inlineStr">
        <is>
          <t>Startup</t>
        </is>
      </c>
      <c r="G2" t="inlineStr">
        <is>
          <t>Batch</t>
        </is>
      </c>
      <c r="H2" t="inlineStr">
        <is>
          <t>Traffic (k)</t>
        </is>
      </c>
    </row>
    <row r="3">
      <c r="A3" t="inlineStr">
        <is>
          <t>AI / No-Code Automation</t>
        </is>
      </c>
      <c r="B3" t="n">
        <v>7</v>
      </c>
      <c r="C3" t="n">
        <v>17.5</v>
      </c>
      <c r="F3" t="inlineStr">
        <is>
          <t>NextUI</t>
        </is>
      </c>
      <c r="G3" t="inlineStr">
        <is>
          <t>S24</t>
        </is>
      </c>
      <c r="H3" t="n">
        <v>665</v>
      </c>
    </row>
    <row r="4">
      <c r="A4" t="inlineStr">
        <is>
          <t>Developer Tools</t>
        </is>
      </c>
      <c r="B4" t="n">
        <v>8</v>
      </c>
      <c r="C4" t="n">
        <v>20</v>
      </c>
      <c r="F4" t="inlineStr">
        <is>
          <t>Wordware</t>
        </is>
      </c>
      <c r="G4" t="inlineStr">
        <is>
          <t>S24</t>
        </is>
      </c>
      <c r="H4" t="n">
        <v>587</v>
      </c>
    </row>
    <row r="5">
      <c r="A5" t="inlineStr">
        <is>
          <t>AI / DevTools</t>
        </is>
      </c>
      <c r="B5" t="n">
        <v>7</v>
      </c>
      <c r="C5" t="n">
        <v>17.5</v>
      </c>
      <c r="F5" t="inlineStr">
        <is>
          <t>Unriddle</t>
        </is>
      </c>
      <c r="G5" t="inlineStr">
        <is>
          <t>S24/S23</t>
        </is>
      </c>
      <c r="H5" t="n">
        <v>334</v>
      </c>
    </row>
    <row r="6">
      <c r="A6" t="inlineStr">
        <is>
          <t>HealthTech</t>
        </is>
      </c>
      <c r="B6" t="n">
        <v>3</v>
      </c>
      <c r="C6" t="n">
        <v>7.5</v>
      </c>
      <c r="F6" t="inlineStr">
        <is>
          <t>Browser Use</t>
        </is>
      </c>
      <c r="G6" t="inlineStr">
        <is>
          <t>W25</t>
        </is>
      </c>
      <c r="H6" t="n">
        <v>320</v>
      </c>
    </row>
    <row r="7">
      <c r="A7" t="inlineStr">
        <is>
          <t>Fintech</t>
        </is>
      </c>
      <c r="B7" t="n">
        <v>2</v>
      </c>
      <c r="C7" t="n">
        <v>5</v>
      </c>
      <c r="F7" t="inlineStr">
        <is>
          <t>Krea</t>
        </is>
      </c>
      <c r="G7" t="inlineStr">
        <is>
          <t>S23</t>
        </is>
      </c>
      <c r="H7" t="n">
        <v>380</v>
      </c>
    </row>
    <row r="8">
      <c r="A8" t="inlineStr">
        <is>
          <t>Consumer / Marketplace</t>
        </is>
      </c>
      <c r="B8" t="n">
        <v>2</v>
      </c>
      <c r="C8" t="n">
        <v>5</v>
      </c>
      <c r="F8" t="inlineStr">
        <is>
          <t>Vapi</t>
        </is>
      </c>
      <c r="G8" t="inlineStr">
        <is>
          <t>S24</t>
        </is>
      </c>
      <c r="H8" t="n">
        <v>250</v>
      </c>
    </row>
    <row r="9">
      <c r="A9" t="inlineStr">
        <is>
          <t>Sales Automation / Enablement</t>
        </is>
      </c>
      <c r="B9" t="n">
        <v>4</v>
      </c>
      <c r="C9" t="n">
        <v>10</v>
      </c>
      <c r="F9" t="inlineStr">
        <is>
          <t>Exa AI</t>
        </is>
      </c>
      <c r="G9" t="inlineStr">
        <is>
          <t>W24</t>
        </is>
      </c>
      <c r="H9" t="n">
        <v>180</v>
      </c>
    </row>
    <row r="10">
      <c r="A10" t="inlineStr">
        <is>
          <t>Legal Tech</t>
        </is>
      </c>
      <c r="B10" t="n">
        <v>1</v>
      </c>
      <c r="C10" t="n">
        <v>2.5</v>
      </c>
      <c r="F10" t="inlineStr">
        <is>
          <t>Better Auth</t>
        </is>
      </c>
      <c r="G10" t="inlineStr">
        <is>
          <t>W25</t>
        </is>
      </c>
      <c r="H10" t="n">
        <v>185</v>
      </c>
    </row>
    <row r="11">
      <c r="A11" t="inlineStr">
        <is>
          <t>Productivity</t>
        </is>
      </c>
      <c r="B11" t="n">
        <v>2</v>
      </c>
      <c r="C11" t="n">
        <v>5</v>
      </c>
      <c r="F11" t="inlineStr">
        <is>
          <t>Tremor</t>
        </is>
      </c>
      <c r="G11" t="inlineStr">
        <is>
          <t>S23</t>
        </is>
      </c>
      <c r="H11" t="n">
        <v>120</v>
      </c>
    </row>
    <row r="12">
      <c r="A12" t="inlineStr">
        <is>
          <t>Creative Tools</t>
        </is>
      </c>
      <c r="B12" t="n">
        <v>2</v>
      </c>
      <c r="C12" t="n">
        <v>5</v>
      </c>
      <c r="F12" t="inlineStr">
        <is>
          <t>Gumloop</t>
        </is>
      </c>
      <c r="G12" t="inlineStr">
        <is>
          <t>W24</t>
        </is>
      </c>
      <c r="H12" t="n">
        <v>95</v>
      </c>
    </row>
    <row r="13">
      <c r="A13" t="inlineStr">
        <is>
          <t>Other</t>
        </is>
      </c>
      <c r="B13" t="n">
        <v>1</v>
      </c>
      <c r="C13" t="n">
        <v>2.5</v>
      </c>
    </row>
    <row r="14">
      <c r="A14" t="inlineStr">
        <is>
          <t>ИТОГО</t>
        </is>
      </c>
      <c r="B14" t="n">
        <v>40</v>
      </c>
      <c r="C14" t="n">
        <v>100</v>
      </c>
    </row>
    <row r="16">
      <c r="A16">
        <f>== РАСПРЕДЕЛЕНИЕ ПО БАТЧАМ ===</f>
        <v/>
      </c>
    </row>
    <row r="17">
      <c r="A17" t="inlineStr">
        <is>
          <t>Батч</t>
        </is>
      </c>
      <c r="B17" t="inlineStr">
        <is>
          <t>Кол-во</t>
        </is>
      </c>
      <c r="C17" t="inlineStr">
        <is>
          <t>% AI</t>
        </is>
      </c>
      <c r="D17" t="inlineStr">
        <is>
          <t>Медиан ARR (пре-YC)</t>
        </is>
      </c>
      <c r="E17" t="inlineStr">
        <is>
          <t>% соло-фаундера</t>
        </is>
      </c>
    </row>
    <row r="18">
      <c r="A18" t="inlineStr">
        <is>
          <t>S23</t>
        </is>
      </c>
      <c r="B18" t="n">
        <v>229</v>
      </c>
      <c r="C18" t="n">
        <v>35</v>
      </c>
      <c r="D18" t="n">
        <v>8000</v>
      </c>
      <c r="E18" t="n">
        <v>15</v>
      </c>
    </row>
    <row r="19">
      <c r="A19" t="inlineStr">
        <is>
          <t>W24</t>
        </is>
      </c>
      <c r="B19" t="n">
        <v>260</v>
      </c>
      <c r="C19" t="n">
        <v>50</v>
      </c>
      <c r="D19" t="n">
        <v>15000</v>
      </c>
      <c r="E19" t="n">
        <v>12</v>
      </c>
    </row>
    <row r="20">
      <c r="A20" t="inlineStr">
        <is>
          <t>S24</t>
        </is>
      </c>
      <c r="B20" t="n">
        <v>255</v>
      </c>
      <c r="C20" t="n">
        <v>67</v>
      </c>
      <c r="D20" t="n">
        <v>22000</v>
      </c>
      <c r="E20" t="n">
        <v>10</v>
      </c>
    </row>
    <row r="21">
      <c r="A21" t="inlineStr">
        <is>
          <t>W25</t>
        </is>
      </c>
      <c r="B21" t="n">
        <v>163</v>
      </c>
      <c r="C21" t="n">
        <v>72</v>
      </c>
      <c r="D21" t="n">
        <v>30000</v>
      </c>
      <c r="E21" t="n">
        <v>18</v>
      </c>
    </row>
    <row r="22">
      <c r="A22" t="inlineStr">
        <is>
          <t>Тренд</t>
        </is>
      </c>
      <c r="B22" t="inlineStr">
        <is>
          <t>AI +37% за 2 года</t>
        </is>
      </c>
      <c r="D22" t="inlineStr">
        <is>
          <t>Рост ARR</t>
        </is>
      </c>
      <c r="E22" t="inlineStr">
        <is>
          <t>Solo возростает</t>
        </is>
      </c>
    </row>
    <row r="26">
      <c r="A26">
        <f>== SOLO-FRIENDLY SCORE ===</f>
        <v/>
      </c>
    </row>
    <row r="27">
      <c r="A27" t="inlineStr">
        <is>
          <t>Solo-Score</t>
        </is>
      </c>
      <c r="B27" t="inlineStr">
        <is>
          <t>Startups count</t>
        </is>
      </c>
    </row>
    <row r="28">
      <c r="A28" t="inlineStr">
        <is>
          <t>5 / 5 - Ideal for solo</t>
        </is>
      </c>
      <c r="B28" t="n">
        <v>10</v>
      </c>
    </row>
    <row r="29">
      <c r="A29" t="inlineStr">
        <is>
          <t>4 / 5 - Possible solo</t>
        </is>
      </c>
      <c r="B29" t="n">
        <v>15</v>
      </c>
    </row>
    <row r="30">
      <c r="A30" t="inlineStr">
        <is>
          <t>3 / 5 - Small team needed</t>
        </is>
      </c>
      <c r="B30" t="n">
        <v>12</v>
      </c>
    </row>
    <row r="31">
      <c r="A31" t="inlineStr">
        <is>
          <t>1-2 / 5 - Requires big team</t>
        </is>
      </c>
      <c r="B31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Idea</t>
        </is>
      </c>
      <c r="C1" s="2" t="inlineStr">
        <is>
          <t>Inspired by</t>
        </is>
      </c>
      <c r="D1" s="2" t="inlineStr">
        <is>
          <t>Why this fits solo dev</t>
        </is>
      </c>
      <c r="E1" s="2" t="inlineStr">
        <is>
          <t>Tech Stack</t>
        </is>
      </c>
      <c r="F1" s="2" t="inlineStr">
        <is>
          <t>Monetization</t>
        </is>
      </c>
      <c r="G1" s="2" t="inlineStr">
        <is>
          <t>Difficulty (1-5)</t>
        </is>
      </c>
      <c r="H1" s="2" t="inlineStr">
        <is>
          <t>Market size</t>
        </is>
      </c>
      <c r="I1" s="2" t="inlineStr">
        <is>
          <t>First MVP in</t>
        </is>
      </c>
      <c r="J1" s="2" t="inlineStr">
        <is>
          <t>Risk</t>
        </is>
      </c>
    </row>
    <row r="2">
      <c r="A2" t="n">
        <v>1</v>
      </c>
      <c r="B2" t="inlineStr">
        <is>
          <t>Open-source auth lib for specific niche (e.g. mobile, Rust, Python)</t>
        </is>
      </c>
      <c r="C2" t="inlineStr">
        <is>
          <t>Better Auth (W25)</t>
        </is>
      </c>
      <c r="D2" t="inlineStr">
        <is>
          <t>Better Auth is solo-built with 25k GitHub stars. Same model, different ecosystem. Devs always need auth.</t>
        </is>
      </c>
      <c r="E2" t="inlineStr">
        <is>
          <t>TypeScript / Python / Rust</t>
        </is>
      </c>
      <c r="F2" t="inlineStr">
        <is>
          <t>Hosted SaaS plan ($29-$99/mo)</t>
        </is>
      </c>
      <c r="G2" t="n">
        <v>2</v>
      </c>
      <c r="H2" t="inlineStr">
        <is>
          <t>Huge (all devs)</t>
        </is>
      </c>
      <c r="I2" t="inlineStr">
        <is>
          <t>4-6 weeks</t>
        </is>
      </c>
      <c r="J2" t="inlineStr">
        <is>
          <t>Network effect slow - build around specific framework community</t>
        </is>
      </c>
    </row>
    <row r="3">
      <c r="A3" t="n">
        <v>2</v>
      </c>
      <c r="B3" t="inlineStr">
        <is>
          <t>AI-copilot for a specific profession (not broad)</t>
        </is>
      </c>
      <c r="C3" t="inlineStr">
        <is>
          <t>Cactus (W25), MagicSchool (S23)</t>
        </is>
      </c>
      <c r="D3" t="inlineStr">
        <is>
          <t>Cactus = solopreneurs, MagicSchool = teachers. Pick 1 profession: notaries, architects, trainers, vets</t>
        </is>
      </c>
      <c r="E3" t="inlineStr">
        <is>
          <t>Next.js + OpenAI API</t>
        </is>
      </c>
      <c r="F3" t="inlineStr">
        <is>
          <t>SaaS $29-$79/mo per user</t>
        </is>
      </c>
      <c r="G3" t="n">
        <v>2</v>
      </c>
      <c r="H3" t="inlineStr">
        <is>
          <t>Medium (niche)</t>
        </is>
      </c>
      <c r="I3" t="inlineStr">
        <is>
          <t>3-4 weeks</t>
        </is>
      </c>
      <c r="J3" t="inlineStr">
        <is>
          <t>LLM costs can eat margin if not careful. Use caching.</t>
        </is>
      </c>
    </row>
    <row r="4">
      <c r="A4" t="n">
        <v>3</v>
      </c>
      <c r="B4" t="inlineStr">
        <is>
          <t>UI component kit for specific framework or niche</t>
        </is>
      </c>
      <c r="C4" t="inlineStr">
        <is>
          <t>NextUI (S24), Tremor (S23)</t>
        </is>
      </c>
      <c r="D4" t="inlineStr">
        <is>
          <t>NextUI = 665k traffic solo-built. Tremor = 120k. There are gaps: Svelte, SolidJS, Vue 3, React Native</t>
        </is>
      </c>
      <c r="E4" t="inlineStr">
        <is>
          <t>TypeScript + target framework</t>
        </is>
      </c>
      <c r="F4" t="inlineStr">
        <is>
          <t>Open-source + Pro plan ($49-$199/mo)</t>
        </is>
      </c>
      <c r="G4" t="n">
        <v>2</v>
      </c>
      <c r="H4" t="inlineStr">
        <is>
          <t>Medium-Large</t>
        </is>
      </c>
      <c r="I4" t="inlineStr">
        <is>
          <t>6-8 weeks</t>
        </is>
      </c>
      <c r="J4" t="inlineStr">
        <is>
          <t>Takes time to build trust, need community marketing</t>
        </is>
      </c>
    </row>
    <row r="5">
      <c r="A5" t="n">
        <v>4</v>
      </c>
      <c r="B5" t="inlineStr">
        <is>
          <t>No-code AI workflow for 1 specific industry (not general)</t>
        </is>
      </c>
      <c r="C5" t="inlineStr">
        <is>
          <t>Gumloop (W24, $17M)</t>
        </is>
      </c>
      <c r="D5" t="inlineStr">
        <is>
          <t>Gumloop is general. A focused clone for HR, real estate or accounting wins the niche faster</t>
        </is>
      </c>
      <c r="E5" t="inlineStr">
        <is>
          <t>React + n8n/Temporal + LLM</t>
        </is>
      </c>
      <c r="F5" t="inlineStr">
        <is>
          <t>SaaS $49-$199/mo</t>
        </is>
      </c>
      <c r="G5" t="n">
        <v>3</v>
      </c>
      <c r="H5" t="inlineStr">
        <is>
          <t>Large (each vertical)</t>
        </is>
      </c>
      <c r="I5" t="inlineStr">
        <is>
          <t>8-10 weeks</t>
        </is>
      </c>
      <c r="J5" t="inlineStr">
        <is>
          <t>Competition from general tools. Niche is the advantage.</t>
        </is>
      </c>
    </row>
    <row r="6">
      <c r="A6" t="n">
        <v>5</v>
      </c>
      <c r="B6" t="inlineStr">
        <is>
          <t>Voice AI agent for a local service business</t>
        </is>
      </c>
      <c r="C6" t="inlineStr">
        <is>
          <t>Cactus (W25), Vapi (S24)</t>
        </is>
      </c>
      <c r="D6" t="inlineStr">
        <is>
          <t>Vapi provides the API. Build a product ON TOP: restaurant booking, beauty salon, dentist clinic AI receptionist</t>
        </is>
      </c>
      <c r="E6" t="inlineStr">
        <is>
          <t>Node.js + Vapi API + Twilio</t>
        </is>
      </c>
      <c r="F6" t="inlineStr">
        <is>
          <t>SaaS $49-$149/mo per business</t>
        </is>
      </c>
      <c r="G6" t="n">
        <v>2</v>
      </c>
      <c r="H6" t="inlineStr">
        <is>
          <t>Medium</t>
        </is>
      </c>
      <c r="I6" t="inlineStr">
        <is>
          <t>2-3 weeks</t>
        </is>
      </c>
      <c r="J6" t="inlineStr">
        <is>
          <t>Twilio/Vapi costs, need local business sales skills</t>
        </is>
      </c>
    </row>
    <row r="7">
      <c r="A7" t="n">
        <v>6</v>
      </c>
      <c r="B7" t="inlineStr">
        <is>
          <t>AI research assistant for a specific vertical</t>
        </is>
      </c>
      <c r="C7" t="inlineStr">
        <is>
          <t>Unriddle (S23/S24, 334k traffic)</t>
        </is>
      </c>
      <c r="D7" t="inlineStr">
        <is>
          <t>Unriddle is for academics. Same idea for: lawyers (case law), doctors (clinical studies), investors (10-K reports)</t>
        </is>
      </c>
      <c r="E7" t="inlineStr">
        <is>
          <t>Next.js + RAG + LLM</t>
        </is>
      </c>
      <c r="F7" t="inlineStr">
        <is>
          <t>SaaS $29-$99/mo</t>
        </is>
      </c>
      <c r="G7" t="n">
        <v>3</v>
      </c>
      <c r="H7" t="inlineStr">
        <is>
          <t>Large (each vertical)</t>
        </is>
      </c>
      <c r="I7" t="inlineStr">
        <is>
          <t>4-6 weeks</t>
        </is>
      </c>
      <c r="J7" t="inlineStr">
        <is>
          <t>Accuracy critical, domain expertise helpful</t>
        </is>
      </c>
    </row>
    <row r="8">
      <c r="A8" t="n">
        <v>7</v>
      </c>
      <c r="B8" t="inlineStr">
        <is>
          <t>AI browser automation for a specific workflow</t>
        </is>
      </c>
      <c r="C8" t="inlineStr">
        <is>
          <t>Browser Use (W25, 30k GitHub stars)</t>
        </is>
      </c>
      <c r="D8" t="inlineStr">
        <is>
          <t>Browser Use is infra. Build product on top: LinkedIn prospecting, Amazon price monitoring, competitor tracking</t>
        </is>
      </c>
      <c r="E8" t="inlineStr">
        <is>
          <t>Python + Browser Use API</t>
        </is>
      </c>
      <c r="F8" t="inlineStr">
        <is>
          <t>SaaS $29-$99/mo</t>
        </is>
      </c>
      <c r="G8" t="n">
        <v>2</v>
      </c>
      <c r="H8" t="inlineStr">
        <is>
          <t>Medium-Large</t>
        </is>
      </c>
      <c r="I8" t="inlineStr">
        <is>
          <t>2-4 weeks</t>
        </is>
      </c>
      <c r="J8" t="inlineStr">
        <is>
          <t>Website structure changes can break workflows</t>
        </is>
      </c>
    </row>
    <row r="9">
      <c r="A9" t="n">
        <v>8</v>
      </c>
      <c r="B9" t="inlineStr">
        <is>
          <t>Training simulation / role-play app for a profession</t>
        </is>
      </c>
      <c r="C9" t="inlineStr">
        <is>
          <t>Solidroad (W25)</t>
        </is>
      </c>
      <c r="D9" t="inlineStr">
        <is>
          <t>Solidroad = sales calls. Same for: medical consultations, job interviews, language learning, customer support</t>
        </is>
      </c>
      <c r="E9" t="inlineStr">
        <is>
          <t>React + LLM Voice API (Vapi)</t>
        </is>
      </c>
      <c r="F9" t="inlineStr">
        <is>
          <t>SaaS $19-$49/mo</t>
        </is>
      </c>
      <c r="G9" t="n">
        <v>2</v>
      </c>
      <c r="H9" t="inlineStr">
        <is>
          <t>Medium-Large</t>
        </is>
      </c>
      <c r="I9" t="inlineStr">
        <is>
          <t>3-5 weeks</t>
        </is>
      </c>
      <c r="J9" t="inlineStr">
        <is>
          <t>Need realistic scenarios, content creation effort</t>
        </is>
      </c>
    </row>
    <row r="10">
      <c r="A10" t="n">
        <v>9</v>
      </c>
      <c r="B10" t="inlineStr">
        <is>
          <t>AI document processor for specific document type</t>
        </is>
      </c>
      <c r="C10" t="inlineStr">
        <is>
          <t>Docling (S24)</t>
        </is>
      </c>
      <c r="D10" t="inlineStr">
        <is>
          <t>Docling = general parsing. Build for: insurance claims, legal contracts, medical records, tax forms</t>
        </is>
      </c>
      <c r="E10" t="inlineStr">
        <is>
          <t>Python + LLM + PDF parsing</t>
        </is>
      </c>
      <c r="F10" t="inlineStr">
        <is>
          <t>API pay-per-document or SaaS</t>
        </is>
      </c>
      <c r="G10" t="n">
        <v>3</v>
      </c>
      <c r="H10" t="inlineStr">
        <is>
          <t>Medium-Large</t>
        </is>
      </c>
      <c r="I10" t="inlineStr">
        <is>
          <t>4-6 weeks</t>
        </is>
      </c>
      <c r="J10" t="inlineStr">
        <is>
          <t>Accuracy requirements high, need domain samples</t>
        </is>
      </c>
    </row>
    <row r="11">
      <c r="A11" t="n">
        <v>10</v>
      </c>
      <c r="B11" t="inlineStr">
        <is>
          <t>Niche analytics/dashboard SaaS for specific role</t>
        </is>
      </c>
      <c r="C11" t="inlineStr">
        <is>
          <t>Tremor (S23), Laminar (S24)</t>
        </is>
      </c>
      <c r="D11" t="inlineStr">
        <is>
          <t>Tremor gives UI components. Build a full product: SEO dashboard for agencies, trading dashboard for traders, ops dashboard for logistics</t>
        </is>
      </c>
      <c r="E11" t="inlineStr">
        <is>
          <t>React (Tremor) + Data APIs</t>
        </is>
      </c>
      <c r="F11" t="inlineStr">
        <is>
          <t>SaaS $49-$199/mo</t>
        </is>
      </c>
      <c r="G11" t="n">
        <v>3</v>
      </c>
      <c r="H11" t="inlineStr">
        <is>
          <t>Medium</t>
        </is>
      </c>
      <c r="I11" t="inlineStr">
        <is>
          <t>6-8 weeks</t>
        </is>
      </c>
      <c r="J11" t="inlineStr">
        <is>
          <t>Competitive SaaS market, need strong niche focus</t>
        </is>
      </c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>
        <f>== ПЕРЕСМОТРЕННЫЕ РЕКОМЕНДАЦИИ (с учётом рисков AI-обёрток) ===</f>
        <v/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n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6" t="inlineStr">
        <is>
          <t>SAFE: Не обёртки, OpenAI не конкурент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n"/>
    </row>
    <row r="17">
      <c r="A17" t="inlineStr">
        <is>
          <t>#1</t>
        </is>
      </c>
      <c r="B17" t="inlineStr">
        <is>
          <t>Open-source dev tool (auth/UI/infra)</t>
        </is>
      </c>
      <c r="C17" t="inlineStr">
        <is>
          <t>Better Auth, assistant-ui, NextUI</t>
        </is>
      </c>
      <c r="D17" t="inlineStr">
        <is>
          <t>Community moat, OpenAI не делает OSS библиотеки</t>
        </is>
      </c>
      <c r="E17" t="inlineStr">
        <is>
          <t>TypeScript</t>
        </is>
      </c>
      <c r="F17" t="inlineStr">
        <is>
          <t>OSS + Hosted SaaS</t>
        </is>
      </c>
      <c r="G17" t="n">
        <v>2</v>
      </c>
      <c r="H17" t="inlineStr">
        <is>
          <t>High</t>
        </is>
      </c>
      <c r="I17" t="inlineStr">
        <is>
          <t>4-6 нед.</t>
        </is>
      </c>
    </row>
    <row r="18">
      <c r="A18" t="inlineStr">
        <is>
          <t>#2</t>
        </is>
      </c>
      <c r="B18" t="inlineStr">
        <is>
          <t>Нишевый SaaS где AI = фича (не продукт)</t>
        </is>
      </c>
      <c r="C18" t="inlineStr">
        <is>
          <t>Tremor, Laminar</t>
        </is>
      </c>
      <c r="D18" t="inlineStr">
        <is>
          <t>CRM для фотографов, дашборд для строителей — AI внутри, но не основа</t>
        </is>
      </c>
      <c r="E18" t="inlineStr">
        <is>
          <t>React + DB + API</t>
        </is>
      </c>
      <c r="F18" t="inlineStr">
        <is>
          <t>SaaS $49-199/mo</t>
        </is>
      </c>
      <c r="G18" t="n">
        <v>3</v>
      </c>
      <c r="H18" t="inlineStr">
        <is>
          <t>Medium</t>
        </is>
      </c>
      <c r="I18" t="inlineStr">
        <is>
          <t>6-8 нед.</t>
        </is>
      </c>
    </row>
    <row r="19">
      <c r="A19" t="inlineStr">
        <is>
          <t>#3</t>
        </is>
      </c>
      <c r="B19" t="inlineStr">
        <is>
          <t>Микро-утилита а ля FormulaBot</t>
        </is>
      </c>
      <c r="C19" t="inlineStr">
        <is>
          <t>FormulaBot ($500K, 87% margin)</t>
        </is>
      </c>
      <c r="D19" t="inlineStr">
        <is>
          <t>Узкая задача, мизерные token costs, SEO-дистрибуция</t>
        </is>
      </c>
      <c r="E19" t="inlineStr">
        <is>
          <t>Next.js + LLM</t>
        </is>
      </c>
      <c r="F19" t="inlineStr">
        <is>
          <t>Freemium SaaS</t>
        </is>
      </c>
      <c r="G19" t="n">
        <v>1</v>
      </c>
      <c r="H19" t="inlineStr">
        <is>
          <t>Medium</t>
        </is>
      </c>
      <c r="I19" t="inlineStr">
        <is>
          <t>2-4 нед.</t>
        </is>
      </c>
    </row>
    <row r="21">
      <c r="A21" t="inlineStr">
        <is>
          <t>RISKY: AI-обёртки, но с возможной защитой через нишу/дистрибуцию</t>
        </is>
      </c>
    </row>
    <row r="22">
      <c r="A22" s="7" t="inlineStr">
        <is>
          <t>#4</t>
        </is>
      </c>
      <c r="B22" s="7" t="inlineStr">
        <is>
          <t>AI-тренажёр переговоров/интервью</t>
        </is>
      </c>
      <c r="C22" s="7" t="inlineStr">
        <is>
          <t>Solidroad</t>
        </is>
      </c>
      <c r="D22" s="7" t="inlineStr">
        <is>
          <t>Нишевый контент + дистрибуция защищает, но ChatGPT Voice давит</t>
        </is>
      </c>
      <c r="E22" s="7" t="inlineStr">
        <is>
          <t>React + Voice API</t>
        </is>
      </c>
      <c r="F22" s="7" t="inlineStr">
        <is>
          <t>SaaS $19-49/mo</t>
        </is>
      </c>
      <c r="G22" s="7" t="n">
        <v>2</v>
      </c>
      <c r="H22" s="7" t="inlineStr">
        <is>
          <t>Medium</t>
        </is>
      </c>
      <c r="I22" s="7" t="inlineStr">
        <is>
          <t>3-5 нед.</t>
        </is>
      </c>
      <c r="J22" s="7" t="n"/>
    </row>
    <row r="23">
      <c r="A23" t="inlineStr">
        <is>
          <t>#5</t>
        </is>
      </c>
      <c r="B23" t="inlineStr">
        <is>
          <t>AI-copilot для 1 профессии (узкая)</t>
        </is>
      </c>
      <c r="C23" t="inlineStr">
        <is>
          <t>Cactus, MagicSchool</t>
        </is>
      </c>
      <c r="D23" t="inlineStr">
        <is>
          <t>Работает ЕСЛИ AI не главное — а workflow + интеграции + данные</t>
        </is>
      </c>
      <c r="E23" t="inlineStr">
        <is>
          <t>Next.js + LLM API</t>
        </is>
      </c>
      <c r="F23" t="inlineStr">
        <is>
          <t>SaaS $29-79/mo</t>
        </is>
      </c>
      <c r="G23" t="n">
        <v>2</v>
      </c>
      <c r="H23" t="inlineStr">
        <is>
          <t>Medium-High</t>
        </is>
      </c>
      <c r="I23" t="inlineStr">
        <is>
          <t>3-4 нед.</t>
        </is>
      </c>
    </row>
    <row r="25">
      <c r="A25" t="inlineStr">
        <is>
          <t>AVOID: Высокий риск смерти от платформ</t>
        </is>
      </c>
    </row>
    <row r="26">
      <c r="A26" s="8" t="inlineStr">
        <is>
          <t>X</t>
        </is>
      </c>
      <c r="B26" s="8" t="inlineStr">
        <is>
          <t>Voice AI агент</t>
        </is>
      </c>
      <c r="C26" s="8" t="inlineStr">
        <is>
          <t>Vapi сам сделает UI, OpenAI Realtime API дешевеет</t>
        </is>
      </c>
      <c r="D26" s="8" t="n"/>
      <c r="E26" s="8" t="n"/>
      <c r="F26" s="8" t="n"/>
      <c r="G26" s="8" t="n"/>
      <c r="H26" s="8" t="n"/>
      <c r="I26" s="8" t="n"/>
      <c r="J26" s="8" t="n"/>
    </row>
    <row r="27">
      <c r="A27" t="inlineStr">
        <is>
          <t>X</t>
        </is>
      </c>
      <c r="B27" t="inlineStr">
        <is>
          <t>AI research assistant</t>
        </is>
      </c>
      <c r="C27" t="inlineStr">
        <is>
          <t>ChatGPT Deep Research + Claude уже делают это</t>
        </is>
      </c>
    </row>
    <row r="28">
      <c r="A28" t="inlineStr">
        <is>
          <t>X</t>
        </is>
      </c>
      <c r="B28" t="inlineStr">
        <is>
          <t>Browser automation product</t>
        </is>
      </c>
      <c r="C28" t="inlineStr">
        <is>
          <t>OpenAI Operator + Google уже здесь</t>
        </is>
      </c>
    </row>
    <row r="29">
      <c r="A29" t="inlineStr">
        <is>
          <t>X</t>
        </is>
      </c>
      <c r="B29" t="inlineStr">
        <is>
          <t>AI document parser (PDF/docs)</t>
        </is>
      </c>
      <c r="C29" t="inlineStr">
        <is>
          <t>ChatGPT/Claude читают PDF нативно, категория мертва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4">
        <f>== КЛАДБИЩЕ AI-ОБЁРТОК: КОНКРЕТНЫЕ ПРИМЕРЫ ===</f>
        <v/>
      </c>
      <c r="B1" s="4" t="n"/>
      <c r="C1" s="4" t="n"/>
      <c r="D1" s="4" t="n"/>
      <c r="E1" s="4" t="n"/>
      <c r="F1" s="4" t="n"/>
    </row>
    <row r="2">
      <c r="A2" s="5" t="inlineStr">
        <is>
          <t>Стартап</t>
        </is>
      </c>
      <c r="B2" s="5" t="inlineStr">
        <is>
          <t>Funding</t>
        </is>
      </c>
      <c r="C2" s="5" t="inlineStr">
        <is>
          <t>Оценка</t>
        </is>
      </c>
      <c r="D2" s="5" t="inlineStr">
        <is>
          <t>Что случилось</t>
        </is>
      </c>
      <c r="E2" s="5" t="inlineStr">
        <is>
          <t>Причина смерти</t>
        </is>
      </c>
      <c r="F2" s="5" t="inlineStr">
        <is>
          <t>Источник</t>
        </is>
      </c>
    </row>
    <row r="3">
      <c r="A3" t="inlineStr">
        <is>
          <t>Jasper AI</t>
        </is>
      </c>
      <c r="B3" t="inlineStr">
        <is>
          <t>$131M</t>
        </is>
      </c>
      <c r="C3" t="inlineStr">
        <is>
          <t>$1.5B</t>
        </is>
      </c>
      <c r="D3" t="inlineStr">
        <is>
          <t>Revenue упал с $120M до $55M (-54%), CEO уволен, оценка -20%</t>
        </is>
      </c>
      <c r="E3" t="inlineStr">
        <is>
          <t>ChatGPT дал бесплатно то за что Jasper брал $80/мес</t>
        </is>
      </c>
      <c r="F3" t="inlineStr">
        <is>
          <t>Latka, Maginative</t>
        </is>
      </c>
    </row>
    <row r="4">
      <c r="A4" t="inlineStr">
        <is>
          <t>Builder.ai</t>
        </is>
      </c>
      <c r="B4" t="inlineStr">
        <is>
          <t>$445M</t>
        </is>
      </c>
      <c r="C4" t="inlineStr">
        <is>
          <t>$1.2B</t>
        </is>
      </c>
      <c r="D4" t="inlineStr">
        <is>
          <t>Банкрот (май 2025). Реальный revenue $55M при заявленном $220M</t>
        </is>
      </c>
      <c r="E4" t="inlineStr">
        <is>
          <t>Не было реального AI — 1500 человек в Индии/Украине</t>
        </is>
      </c>
      <c r="F4" t="inlineStr">
        <is>
          <t>Bloomberg, TechStartups</t>
        </is>
      </c>
    </row>
    <row r="5">
      <c r="A5" t="inlineStr">
        <is>
          <t>Phind</t>
        </is>
      </c>
      <c r="B5" t="inlineStr">
        <is>
          <t>$10M Series A</t>
        </is>
      </c>
      <c r="C5" t="inlineStr">
        <is>
          <t>—</t>
        </is>
      </c>
      <c r="D5" t="inlineStr">
        <is>
          <t>Закрылся через месяц после раунда (январь 2026)</t>
        </is>
      </c>
      <c r="E5" t="inlineStr">
        <is>
          <t>ChatGPT/Claude/Google добавили нативный поиск</t>
        </is>
      </c>
      <c r="F5" t="inlineStr">
        <is>
          <t>IntelligentTools</t>
        </is>
      </c>
    </row>
    <row r="6">
      <c r="A6" t="inlineStr">
        <is>
          <t>CodeParrot (YC W23)</t>
        </is>
      </c>
      <c r="B6" t="inlineStr">
        <is>
          <t>$500K</t>
        </is>
      </c>
      <c r="C6" t="inlineStr">
        <is>
          <t>—</t>
        </is>
      </c>
      <c r="D6" t="inlineStr">
        <is>
          <t>Пик MRR = $1,500. Закрылся июль 2025</t>
        </is>
      </c>
      <c r="E6" t="inlineStr">
        <is>
          <t>Cursor/Claude делают Figma-to-code нативно</t>
        </is>
      </c>
      <c r="F6" t="inlineStr">
        <is>
          <t>Entrepreneur</t>
        </is>
      </c>
    </row>
    <row r="7">
      <c r="A7" t="inlineStr">
        <is>
          <t>Chat with PDF (десятки)</t>
        </is>
      </c>
      <c r="B7" t="inlineStr">
        <is>
          <t>разный</t>
        </is>
      </c>
      <c r="C7" t="inlineStr">
        <is>
          <t>—</t>
        </is>
      </c>
      <c r="D7" t="inlineStr">
        <is>
          <t>Все умерли в один день (октябрь 2023)</t>
        </is>
      </c>
      <c r="E7" t="inlineStr">
        <is>
          <t>ChatGPT добавил загрузку PDF бесплатно</t>
        </is>
      </c>
      <c r="F7" t="inlineStr">
        <is>
          <t>Gizmodo, TechCrunch</t>
        </is>
      </c>
    </row>
    <row r="9">
      <c r="A9">
        <f>== СТАТИСТИКА ВЫЖИВАЕМОСТИ AI-ОБЁРТОК ===</f>
        <v/>
      </c>
    </row>
    <row r="10">
      <c r="A10" t="inlineStr">
        <is>
          <t>Метрика</t>
        </is>
      </c>
      <c r="B10" t="inlineStr">
        <is>
          <t>Значение</t>
        </is>
      </c>
      <c r="C10" t="inlineStr">
        <is>
          <t>Источник</t>
        </is>
      </c>
    </row>
    <row r="11">
      <c r="A11" t="inlineStr">
        <is>
          <t>Процент полных провалов</t>
        </is>
      </c>
      <c r="B11" t="inlineStr">
        <is>
          <t>80-95%</t>
        </is>
      </c>
      <c r="C11" t="inlineStr">
        <is>
          <t>RAND Corporation, MIT 2025</t>
        </is>
      </c>
    </row>
    <row r="12">
      <c r="A12" t="inlineStr">
        <is>
          <t>Доходят до $10K/мес revenue</t>
        </is>
      </c>
      <c r="B12" t="inlineStr">
        <is>
          <t>2-5%</t>
        </is>
      </c>
      <c r="C12" t="inlineStr">
        <is>
          <t>Market Clarity</t>
        </is>
      </c>
    </row>
    <row r="13">
      <c r="A13" t="inlineStr">
        <is>
          <t>Новые обёртки запускаются каждый день</t>
        </is>
      </c>
      <c r="B13" t="inlineStr">
        <is>
          <t>10-15 штук</t>
        </is>
      </c>
      <c r="C13" t="inlineStr">
        <is>
          <t>Market Clarity</t>
        </is>
      </c>
    </row>
    <row r="14">
      <c r="A14" t="inlineStr">
        <is>
          <t>Стартапов закрылось в USA (2024)</t>
        </is>
      </c>
      <c r="B14" t="inlineStr">
        <is>
          <t>966 (+25.6% к 2023)</t>
        </is>
      </c>
      <c r="C14" t="inlineStr">
        <is>
          <t>SimpleClosure</t>
        </is>
      </c>
    </row>
    <row r="15">
      <c r="A15" t="inlineStr">
        <is>
          <t>AI-инструментов закрылись (2025)</t>
        </is>
      </c>
      <c r="B15" t="inlineStr">
        <is>
          <t>227</t>
        </is>
      </c>
      <c r="C15" t="inlineStr">
        <is>
          <t>SimpleClosure</t>
        </is>
      </c>
    </row>
    <row r="16">
      <c r="A16" t="inlineStr">
        <is>
          <t>YC AI-стартапов — обёртки с низкой ценностью</t>
        </is>
      </c>
      <c r="B16" t="inlineStr">
        <is>
          <t>41%</t>
        </is>
      </c>
      <c r="C16" t="inlineStr">
        <is>
          <t>Stanford Research</t>
        </is>
      </c>
    </row>
    <row r="17">
      <c r="A17" t="inlineStr">
        <is>
          <t>Gross margin AI-обёртки</t>
        </is>
      </c>
      <c r="B17" t="inlineStr">
        <is>
          <t>25-60%</t>
        </is>
      </c>
      <c r="C17" t="inlineStr">
        <is>
          <t>Bessemer VP 2025</t>
        </is>
      </c>
    </row>
    <row r="18">
      <c r="A18" t="inlineStr">
        <is>
          <t>Gross margin обычного SaaS</t>
        </is>
      </c>
      <c r="B18" t="inlineStr">
        <is>
          <t>70-80%</t>
        </is>
      </c>
      <c r="C18" t="inlineStr">
        <is>
          <t>Bessemer VP 2025</t>
        </is>
      </c>
    </row>
    <row r="19">
      <c r="A19" t="inlineStr">
        <is>
          <t>Время копирования фичи конкурентом</t>
        </is>
      </c>
      <c r="B19" t="inlineStr">
        <is>
          <t>3-6 месяцев</t>
        </is>
      </c>
      <c r="C19" t="inlineStr">
        <is>
          <t>Virta Ventures</t>
        </is>
      </c>
    </row>
    <row r="20">
      <c r="A20" t="inlineStr">
        <is>
          <t>LLM API цены упали за 16 месяцев</t>
        </is>
      </c>
      <c r="B20" t="inlineStr">
        <is>
          <t>-83%</t>
        </is>
      </c>
      <c r="C20" t="inlineStr">
        <is>
          <t>OpenAI / FutureSearch</t>
        </is>
      </c>
    </row>
    <row r="21">
      <c r="A21" t="inlineStr">
        <is>
          <t>Годовой churn customer support AI</t>
        </is>
      </c>
      <c r="B21" t="inlineStr">
        <is>
          <t>76%</t>
        </is>
      </c>
      <c r="C21" t="inlineStr">
        <is>
          <t>LiveX AI</t>
        </is>
      </c>
    </row>
    <row r="22">
      <c r="A22" t="inlineStr">
        <is>
          <t>OpenAI потери при $3.7B revenue (2024)</t>
        </is>
      </c>
      <c r="B22" t="inlineStr">
        <is>
          <t>$5B</t>
        </is>
      </c>
      <c r="C22" t="inlineStr">
        <is>
          <t>Medium/PYMNTS</t>
        </is>
      </c>
    </row>
    <row r="24">
      <c r="A24">
        <f>== КТО ВЫЖИЛ И ПОЧЕМУ ===</f>
        <v/>
      </c>
    </row>
    <row r="25">
      <c r="A25" t="inlineStr">
        <is>
          <t>Стартап</t>
        </is>
      </c>
      <c r="B25" t="inlineStr">
        <is>
          <t>Revenue</t>
        </is>
      </c>
      <c r="C25" t="inlineStr">
        <is>
          <t>Оценка</t>
        </is>
      </c>
      <c r="D25" t="inlineStr">
        <is>
          <t>Почему жив (moat)</t>
        </is>
      </c>
      <c r="E25" t="inlineStr">
        <is>
          <t>Модель</t>
        </is>
      </c>
      <c r="F25" t="inlineStr">
        <is>
          <t>Ключевой урок</t>
        </is>
      </c>
    </row>
    <row r="26">
      <c r="A26" t="inlineStr">
        <is>
          <t>Harvey AI</t>
        </is>
      </c>
      <c r="B26" t="inlineStr">
        <is>
          <t>$75M ARR</t>
        </is>
      </c>
      <c r="C26" t="inlineStr">
        <is>
          <t>$5B</t>
        </is>
      </c>
      <c r="D26" t="inlineStr">
        <is>
          <t>Проприетарные юридические модели + комплаенс + workflow</t>
        </is>
      </c>
      <c r="E26" t="inlineStr">
        <is>
          <t>Deep vertical (Legal)</t>
        </is>
      </c>
      <c r="F26" t="inlineStr">
        <is>
          <t>OpenAI не будет продавать в каждую юрфирму</t>
        </is>
      </c>
    </row>
    <row r="27">
      <c r="A27" t="inlineStr">
        <is>
          <t>Copy.ai</t>
        </is>
      </c>
      <c r="B27" t="inlineStr">
        <is>
          <t>$23.7M ARR</t>
        </is>
      </c>
      <c r="C27" t="inlineStr">
        <is>
          <t>—</t>
        </is>
      </c>
      <c r="D27" t="inlineStr">
        <is>
          <t>Быстро стал workflow-платформой для GTM-команд, не обёрткой</t>
        </is>
      </c>
      <c r="E27" t="inlineStr">
        <is>
          <t>Pivot из обёртки в платформу</t>
        </is>
      </c>
      <c r="F27" t="inlineStr">
        <is>
          <t>Выжил с $17M vs Jasper с $131M</t>
        </is>
      </c>
    </row>
    <row r="28">
      <c r="A28" t="inlineStr">
        <is>
          <t>FormulaBot</t>
        </is>
      </c>
      <c r="B28" t="inlineStr">
        <is>
          <t>$500K ARR, 87.5% margin</t>
        </is>
      </c>
      <c r="C28" t="inlineStr">
        <is>
          <t>—</t>
        </is>
      </c>
      <c r="D28" t="inlineStr">
        <is>
          <t>Узкая ниша (текст→Excel формулы), мизерные token costs</t>
        </is>
      </c>
      <c r="E28" t="inlineStr">
        <is>
          <t>Микро-утилита с SEO</t>
        </is>
      </c>
      <c r="F28" t="inlineStr">
        <is>
          <t>Маленький рынок = безопасность от больших</t>
        </is>
      </c>
    </row>
    <row r="29">
      <c r="A29" t="inlineStr">
        <is>
          <t>Perplexity</t>
        </is>
      </c>
      <c r="B29" t="inlineStr">
        <is>
          <t>$100M ARR</t>
        </is>
      </c>
      <c r="C29" t="inlineStr">
        <is>
          <t>$20B</t>
        </is>
      </c>
      <c r="D29" t="inlineStr">
        <is>
          <t>Свой поисковый индекс + citation system + open-source модели</t>
        </is>
      </c>
      <c r="E29" t="inlineStr">
        <is>
          <t>Инфраструктура &gt; обёртка</t>
        </is>
      </c>
      <c r="F29" t="inlineStr">
        <is>
          <t>Стал не обёрткой а платформой</t>
        </is>
      </c>
    </row>
    <row r="30">
      <c r="A30" t="inlineStr">
        <is>
          <t>PDF.ai</t>
        </is>
      </c>
      <c r="B30" t="inlineStr">
        <is>
          <t>400K users</t>
        </is>
      </c>
      <c r="C30" t="inlineStr">
        <is>
          <t>—</t>
        </is>
      </c>
      <c r="D30" t="inlineStr">
        <is>
          <t>100x дистрибуция конкурента с лучшим AI</t>
        </is>
      </c>
      <c r="E30" t="inlineStr">
        <is>
          <t>Дистрибуция &gt; технология</t>
        </is>
      </c>
      <c r="F30" t="inlineStr">
        <is>
          <t>SEO + бренд важнее качества AI</t>
        </is>
      </c>
    </row>
    <row r="32">
      <c r="A32">
        <f>== ПАТТЕРН: ЧТО УМИРАЕТ vs ЧТО ВЫЖИВАЕТ ===</f>
        <v/>
      </c>
    </row>
    <row r="33">
      <c r="A33" t="inlineStr">
        <is>
          <t>УМИРАЕТ</t>
        </is>
      </c>
      <c r="C33" t="inlineStr">
        <is>
          <t>ВЫЖИВАЕТ</t>
        </is>
      </c>
    </row>
    <row r="34">
      <c r="A34" t="inlineStr">
        <is>
          <t>Мы делаем X, но с AI</t>
        </is>
      </c>
      <c r="C34" t="inlineStr">
        <is>
          <t>Мы решаем проблему Y в индустрии Z</t>
        </is>
      </c>
    </row>
    <row r="35">
      <c r="A35" t="inlineStr">
        <is>
          <t>UI поверх API</t>
        </is>
      </c>
      <c r="C35" t="inlineStr">
        <is>
          <t>Workflow + данные + интеграции + комплаенс</t>
        </is>
      </c>
    </row>
    <row r="36">
      <c r="A36" t="inlineStr">
        <is>
          <t>Горизонтальный продукт</t>
        </is>
      </c>
      <c r="C36" t="inlineStr">
        <is>
          <t>Глубокая вертикаль</t>
        </is>
      </c>
    </row>
    <row r="37">
      <c r="A37" t="inlineStr">
        <is>
          <t>Конкурирует с ChatGPT</t>
        </is>
      </c>
      <c r="C37" t="inlineStr">
        <is>
          <t>Конкурирует с легаси-софтом (Excel, SAP, 1С)</t>
        </is>
      </c>
    </row>
    <row r="38">
      <c r="A38" t="inlineStr">
        <is>
          <t>Технология = продукт</t>
        </is>
      </c>
      <c r="C38" t="inlineStr">
        <is>
          <t>Дистрибуция = продукт</t>
        </is>
      </c>
    </row>
    <row r="39">
      <c r="A39" t="inlineStr">
        <is>
          <t>AI — единственная ценность</t>
        </is>
      </c>
      <c r="C39" t="inlineStr">
        <is>
          <t>AI — один из компонентов бизнес-продукта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9">
        <f>== AI INFRASTRUCTURE ИДЕИ: ПОЛНЫЙ АНАЛИЗ ===</f>
        <v/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</row>
    <row r="3">
      <c r="A3" s="10" t="inlineStr">
        <is>
          <t>#</t>
        </is>
      </c>
      <c r="B3" s="10" t="inlineStr">
        <is>
          <t>Идея</t>
        </is>
      </c>
      <c r="C3" s="10" t="inlineStr">
        <is>
          <t>Категория</t>
        </is>
      </c>
      <c r="D3" s="10" t="inlineStr">
        <is>
          <t>Боль которую решает</t>
        </is>
      </c>
      <c r="E3" s="10" t="inlineStr">
        <is>
          <t>Конкуренты</t>
        </is>
      </c>
      <c r="F3" s="10" t="inlineStr">
        <is>
          <t>Почему конкуренты слабые</t>
        </is>
      </c>
      <c r="G3" s="10" t="inlineStr">
        <is>
          <t>Open Core: Free</t>
        </is>
      </c>
      <c r="H3" s="10" t="inlineStr">
        <is>
          <t>Open Core: Paid</t>
        </is>
      </c>
      <c r="I3" s="10" t="inlineStr">
        <is>
          <t>Стек</t>
        </is>
      </c>
      <c r="J3" s="10" t="inlineStr">
        <is>
          <t>MVP (недели)</t>
        </is>
      </c>
      <c r="K3" s="10" t="inlineStr">
        <is>
          <t>Сложность (1-5)</t>
        </is>
      </c>
      <c r="L3" s="10" t="inlineStr">
        <is>
          <t>Revenue потенциал</t>
        </is>
      </c>
      <c r="M3" s="10" t="inlineStr">
        <is>
          <t>AI-wrapper риск</t>
        </is>
      </c>
      <c r="N3" s="10" t="inlineStr">
        <is>
          <t>Первые клиенты</t>
        </is>
      </c>
      <c r="O3" s="10" t="inlineStr">
        <is>
          <t>Путь к $10K MRR</t>
        </is>
      </c>
    </row>
    <row r="4">
      <c r="A4" s="11" t="n">
        <v>1</v>
      </c>
      <c r="B4" s="11" t="inlineStr">
        <is>
          <t>MCP Test Framework</t>
        </is>
      </c>
      <c r="C4" s="11" t="inlineStr">
        <is>
          <t>MCP Tooling</t>
        </is>
      </c>
      <c r="D4" s="11" t="inlineStr">
        <is>
          <t>79% MCP-серверов не собираются, нет стандартного способа протестировать MCP-сервер до деплоя. Нет CI/CD для MCP.</t>
        </is>
      </c>
      <c r="E4" s="11" t="inlineStr">
        <is>
          <t>MCP Inspector (официальный, ручной debug)</t>
        </is>
      </c>
      <c r="F4" s="11" t="inlineStr">
        <is>
          <t>Только ручной дебаг. Нет автотестов, нет CI/CD, нет регрессии. Никто не делает полноценный тест-фреймворк.</t>
        </is>
      </c>
      <c r="G4" s="11" t="inlineStr">
        <is>
          <t>CLI тест-раннер: запуск, проверка list_tools, валидация схем, снэпшоты</t>
        </is>
      </c>
      <c r="H4" s="11" t="inlineStr">
        <is>
          <t>CI/CD GitHub Action, badge 'MCP Verified', hosted dashboard с историей тестов, уведомления о поломках</t>
        </is>
      </c>
      <c r="I4" s="11" t="inlineStr">
        <is>
          <t>TypeScript, Node.js, MCP SDK</t>
        </is>
      </c>
      <c r="J4" s="11" t="inlineStr">
        <is>
          <t>3-4</t>
        </is>
      </c>
      <c r="K4" s="11" t="n">
        <v>2</v>
      </c>
      <c r="L4" s="11" t="inlineStr">
        <is>
          <t>Средний</t>
        </is>
      </c>
      <c r="M4" s="11" t="inlineStr">
        <is>
          <t>Нулевой</t>
        </is>
      </c>
      <c r="N4" s="11" t="inlineStr">
        <is>
          <t>MCP-разработчики, авторы серверов из реестра, open-source комьюнити</t>
        </is>
      </c>
      <c r="O4" s="11" t="inlineStr">
        <is>
          <t>GitHub Action подписка $29/мес на команду. 350 команд = $10K MRR. При 10K+ MCP-серверов — реально.</t>
        </is>
      </c>
    </row>
    <row r="5">
      <c r="A5" s="11" t="n">
        <v>2</v>
      </c>
      <c r="B5" s="11" t="inlineStr">
        <is>
          <t>AI Agent Cost Tracker</t>
        </is>
      </c>
      <c r="C5" s="11" t="inlineStr">
        <is>
          <t>Agent Observability</t>
        </is>
      </c>
      <c r="D5" s="11" t="inlineStr">
        <is>
          <t>Разработчики и команды не знают сколько тратят на LLM API. Случаи $800K счетов при $250K revenue. Нет бюджетирования.</t>
        </is>
      </c>
      <c r="E5" s="11" t="inlineStr">
        <is>
          <t>AgentReplay (observability, не billing), Helicone (closed-source), OpenLit (широкий)</t>
        </is>
      </c>
      <c r="F5" s="11" t="inlineStr">
        <is>
          <t>Никто не фокусируется на COST/BUDGET. Все делают traces/observability. Лёгкого OSS budget-трекера нет.</t>
        </is>
      </c>
      <c r="G5" s="11" t="inlineStr">
        <is>
          <t>Локальный прокси/SDK: перехват LLM-вызовов, подсчёт токенов/$, дашборд, алерты</t>
        </is>
      </c>
      <c r="H5" s="11" t="inlineStr">
        <is>
          <t>Team dashboard, бюджеты по проектам, billing integration (Stripe), алерты Slack/email, отчёты</t>
        </is>
      </c>
      <c r="I5" s="11" t="inlineStr">
        <is>
          <t>TypeScript/Python, Proxy, SQLite/Postgres, React dashboard</t>
        </is>
      </c>
      <c r="J5" s="11" t="inlineStr">
        <is>
          <t>2-3</t>
        </is>
      </c>
      <c r="K5" s="11" t="n">
        <v>1</v>
      </c>
      <c r="L5" s="11" t="inlineStr">
        <is>
          <t>Средний-высокий</t>
        </is>
      </c>
      <c r="M5" s="11" t="inlineStr">
        <is>
          <t>Нулевой</t>
        </is>
      </c>
      <c r="N5" s="11" t="inlineStr">
        <is>
          <t>AI-стартапы, фрилансеры, команды с LLM API в продакшене. Twitter/HN launch.</t>
        </is>
      </c>
      <c r="O5" s="11" t="inlineStr">
        <is>
          <t>$19/мес на команду. 530 команд = $10K. Боль у всех — распространение через OSS быстрое.</t>
        </is>
      </c>
    </row>
    <row r="6">
      <c r="A6" s="11" t="n">
        <v>3</v>
      </c>
      <c r="B6" s="11" t="inlineStr">
        <is>
          <t>MCP Package Manager</t>
        </is>
      </c>
      <c r="C6" s="11" t="inlineStr">
        <is>
          <t>MCP Tooling</t>
        </is>
      </c>
      <c r="D6" s="11" t="inlineStr">
        <is>
          <t>Найти и установить MCP-сервер = 'византийский процесс'. Нет npm install для MCP. Ручная настройка каждого.</t>
        </is>
      </c>
      <c r="E6" s="11" t="inlineStr">
        <is>
          <t>Офиц. реестр (зачаточный), mcp.run (hosted, не OSS), Smithery</t>
        </is>
      </c>
      <c r="F6" s="11" t="inlineStr">
        <is>
          <t>Офиц. реестр — только каталог, не package manager. mcp.run — closed. Нет `mcp install X` как npm.</t>
        </is>
      </c>
      <c r="G6" s="11" t="inlineStr">
        <is>
          <t>CLI: `mcp install stripe`, `mcp search`, `mcp update`. Авто-конфиг для Cursor/Claude. Public registry.</t>
        </is>
      </c>
      <c r="H6" s="11" t="inlineStr">
        <is>
          <t>Private registry для компаний, team management, security scanning серверов, аналитика использования</t>
        </is>
      </c>
      <c r="I6" s="11" t="inlineStr">
        <is>
          <t>TypeScript, Node.js, SQLite/Postgres, CLI (Commander/Clack)</t>
        </is>
      </c>
      <c r="J6" s="11" t="inlineStr">
        <is>
          <t>6-8</t>
        </is>
      </c>
      <c r="K6" s="11" t="n">
        <v>3</v>
      </c>
      <c r="L6" s="11" t="inlineStr">
        <is>
          <t>Очень высокий</t>
        </is>
      </c>
      <c r="M6" s="11" t="inlineStr">
        <is>
          <t>Нулевой</t>
        </is>
      </c>
      <c r="N6" s="11" t="inlineStr">
        <is>
          <t>Все кто использует MCP: Cursor-юзеры, Claude Code, компании с AI-агентами</t>
        </is>
      </c>
      <c r="O6" s="11" t="inlineStr">
        <is>
          <t>Private registry $49/мес. 200 компаний = $10K. Если станет стандартом — как npm ($100M+ revenue).</t>
        </is>
      </c>
    </row>
    <row r="7">
      <c r="A7" s="11" t="n">
        <v>4</v>
      </c>
      <c r="B7" s="11" t="inlineStr">
        <is>
          <t>MCP Auth &amp; Security Middleware</t>
        </is>
      </c>
      <c r="C7" s="11" t="inlineStr">
        <is>
          <t>MCP Security</t>
        </is>
      </c>
      <c r="D7" s="11" t="inlineStr">
        <is>
          <t>MCP-сервера = дыра в безопасности. Нет стандартной auth. Токены текут. Enterprise боятся внедрять.</t>
        </is>
      </c>
      <c r="E7" s="11" t="inlineStr">
        <is>
          <t>Kong MCP Gateway (enterprise, дорого), Azure APIM (завязан на Azure), Red Hat (гайды)</t>
        </is>
      </c>
      <c r="F7" s="11" t="inlineStr">
        <is>
          <t>Все конкуренты — enterprise/vendor-locked. Лёгкого OSS прокси который поставил и работает — нет.</t>
        </is>
      </c>
      <c r="G7" s="11" t="inlineStr">
        <is>
          <t>Прокси между агентом и MCP: auth (API key/OAuth), фильтрация tool calls, логи</t>
        </is>
      </c>
      <c r="H7" s="11" t="inlineStr">
        <is>
          <t>SSO (Okta/Azure AD), audit trail, комплаенс-отчёты, role-based tool access, hosted proxy, PII фильтрация</t>
        </is>
      </c>
      <c r="I7" s="11" t="inlineStr">
        <is>
          <t>TypeScript/Go, HTTP proxy, OAuth2, SQLite/Postgres</t>
        </is>
      </c>
      <c r="J7" s="11" t="inlineStr">
        <is>
          <t>4-6</t>
        </is>
      </c>
      <c r="K7" s="11" t="n">
        <v>3</v>
      </c>
      <c r="L7" s="11" t="inlineStr">
        <is>
          <t>Высокий</t>
        </is>
      </c>
      <c r="M7" s="11" t="inlineStr">
        <is>
          <t>Нулевой</t>
        </is>
      </c>
      <c r="N7" s="11" t="inlineStr">
        <is>
          <t>Enterprise компании с compliance требованиями (SOC2, HIPAA). Стартапы с AI-агентами.</t>
        </is>
      </c>
      <c r="O7" s="11" t="inlineStr">
        <is>
          <t>Enterprise plan $199/мес. 50 компаний = $10K. Enterprise платят много за security.</t>
        </is>
      </c>
    </row>
    <row r="8">
      <c r="A8" s="11" t="n">
        <v>5</v>
      </c>
      <c r="B8" s="11" t="inlineStr">
        <is>
          <t>OpenAPI ↔ MCP конвертер</t>
        </is>
      </c>
      <c r="C8" s="11" t="inlineStr">
        <is>
          <t>MCP Tooling</t>
        </is>
      </c>
      <c r="D8" s="11" t="inlineStr">
        <is>
          <t>У компаний тысячи REST API с OpenAPI spec. Чтобы AI-агент их вызывал через MCP — каждый сервер пишут руками.</t>
        </is>
      </c>
      <c r="E8" s="11" t="inlineStr">
        <is>
          <t>Единичные скрипты на GitHub, ничего production-ready</t>
        </is>
      </c>
      <c r="F8" s="11" t="inlineStr">
        <is>
          <t>Скрипты не поддерживают auth, pagination, webhooks, error handling. Нет auto-sync.</t>
        </is>
      </c>
      <c r="G8" s="11" t="inlineStr">
        <is>
          <t>CLI: скормил openapi.yaml → получил MCP-сервер. Обратно: MCP → OpenAPI spec.</t>
        </is>
      </c>
      <c r="H8" s="11" t="inlineStr">
        <is>
          <t>Hosted конвертер с auto-sync (обновился API → обновился MCP), кастомные правила, мониторинг</t>
        </is>
      </c>
      <c r="I8" s="11" t="inlineStr">
        <is>
          <t>TypeScript, Node.js, OpenAPI Parser, MCP SDK</t>
        </is>
      </c>
      <c r="J8" s="11" t="inlineStr">
        <is>
          <t>3-4</t>
        </is>
      </c>
      <c r="K8" s="11" t="n">
        <v>2</v>
      </c>
      <c r="L8" s="11" t="inlineStr">
        <is>
          <t>Высокий</t>
        </is>
      </c>
      <c r="M8" s="11" t="inlineStr">
        <is>
          <t>Нулевой</t>
        </is>
      </c>
      <c r="N8" s="11" t="inlineStr">
        <is>
          <t>Любая компания с REST API которая хочет поддержку AI-агентов. SaaS-компании.</t>
        </is>
      </c>
      <c r="O8" s="11" t="inlineStr">
        <is>
          <t>Auto-sync $39/мес на API. 260 API = $10K. Каждый SaaS захочет MCP для своего API.</t>
        </is>
      </c>
    </row>
    <row r="9">
      <c r="A9" s="11" t="n">
        <v>6</v>
      </c>
      <c r="B9" s="11" t="inlineStr">
        <is>
          <t>Unified Agent Config Manager</t>
        </is>
      </c>
      <c r="C9" s="11" t="inlineStr">
        <is>
          <t>Agent DX</t>
        </is>
      </c>
      <c r="D9" s="11" t="inlineStr">
        <is>
          <t>Каждый AI-агент имеет свой формат: .cursor/rules, CLAUDE.md, AGENTS.md, copilot-instructions.md. Пишешь одно и то же 4 раза.</t>
        </is>
      </c>
      <c r="E9" s="11" t="inlineStr">
        <is>
          <t>RuleBox.ai (ручной агрегатор)</t>
        </is>
      </c>
      <c r="F9" s="11" t="inlineStr">
        <is>
          <t>RuleBox — просто каталог готовых rules. Нет автосинхронизации, нет CLI, нет конвертации.</t>
        </is>
      </c>
      <c r="G9" s="11" t="inlineStr">
        <is>
          <t>CLI: один конфиг agent.yaml → генерация для всех агентов. `agent-config sync`</t>
        </is>
      </c>
      <c r="H9" s="11" t="inlineStr">
        <is>
          <t>Team sync через cloud, CI/CD hook (обновил код → обновились rules), аналитика, team dashboard</t>
        </is>
      </c>
      <c r="I9" s="11" t="inlineStr">
        <is>
          <t>TypeScript, Node.js, YAML parser, CLI (Commander/Clack)</t>
        </is>
      </c>
      <c r="J9" s="11" t="inlineStr">
        <is>
          <t>2-3</t>
        </is>
      </c>
      <c r="K9" s="11" t="n">
        <v>1</v>
      </c>
      <c r="L9" s="11" t="inlineStr">
        <is>
          <t>Средний</t>
        </is>
      </c>
      <c r="M9" s="11" t="inlineStr">
        <is>
          <t>Нулевой</t>
        </is>
      </c>
      <c r="N9" s="11" t="inlineStr">
        <is>
          <t>Разработчики использующие 2+ AI-агентов одновременно (Cursor + Claude + Copilot)</t>
        </is>
      </c>
      <c r="O9" s="11" t="inlineStr">
        <is>
          <t>Team plan $19/мес. 530 команд = $10K. Но риск: форматы могут унифицироваться сами.</t>
        </is>
      </c>
    </row>
    <row r="10">
      <c r="A10" s="11" t="n">
        <v>7</v>
      </c>
      <c r="B10" s="11" t="inlineStr">
        <is>
          <t>MCP Server Health Monitor</t>
        </is>
      </c>
      <c r="C10" s="11" t="inlineStr">
        <is>
          <t>MCP Ops</t>
        </is>
      </c>
      <c r="D10" s="11" t="inlineStr">
        <is>
          <t>MCP-сервера падают в продакшене без предупреждения. Runtime failures у большинства серверов. Нет uptime monitoring для MCP.</t>
        </is>
      </c>
      <c r="E10" s="11" t="inlineStr">
        <is>
          <t>UptimeRobot, Better Uptime (не понимают MCP протокол)</t>
        </is>
      </c>
      <c r="F10" s="11" t="inlineStr">
        <is>
          <t>Обычные uptime мониторы проверяют HTTP. MCP — другой протокол (stdio/SSE). Нужна MCP-специфичная проверка.</t>
        </is>
      </c>
      <c r="G10" s="11" t="inlineStr">
        <is>
          <t>Монитор: пинг MCP-серверов (list_tools, пробные вызовы), дашборд статусов, алерты</t>
        </is>
      </c>
      <c r="H10" s="11" t="inlineStr">
        <is>
          <t>Hosted monitoring, status page для клиентов, SLA отчёты, интеграция с PagerDuty/Slack, история инцидентов</t>
        </is>
      </c>
      <c r="I10" s="11" t="inlineStr">
        <is>
          <t>TypeScript/Go, Cron, MCP SDK, React dashboard</t>
        </is>
      </c>
      <c r="J10" s="11" t="inlineStr">
        <is>
          <t>3-4</t>
        </is>
      </c>
      <c r="K10" s="11" t="n">
        <v>2</v>
      </c>
      <c r="L10" s="11" t="inlineStr">
        <is>
          <t>Средний</t>
        </is>
      </c>
      <c r="M10" s="11" t="inlineStr">
        <is>
          <t>Нулевой</t>
        </is>
      </c>
      <c r="N10" s="11" t="inlineStr">
        <is>
          <t>Компании с MCP-серверами в продакшене. DevOps/SRE команды.</t>
        </is>
      </c>
      <c r="O10" s="11" t="inlineStr">
        <is>
          <t>$29/мес на 10 серверов. 350 команд = $10K. Аналог Better Uptime но для MCP.</t>
        </is>
      </c>
    </row>
    <row r="11">
      <c r="A11" s="11" t="n">
        <v>8</v>
      </c>
      <c r="B11" s="11" t="inlineStr">
        <is>
          <t>Cursor Rules Auto-Generator</t>
        </is>
      </c>
      <c r="C11" s="11" t="inlineStr">
        <is>
          <t>Agent DX</t>
        </is>
      </c>
      <c r="D11" s="11" t="inlineStr">
        <is>
          <t>Библиотеки на npm/pip не имеют .cursor/rules. AI-агенты делают ошибки потому что не знают API библиотеки.</t>
        </is>
      </c>
      <c r="E11" s="11" t="inlineStr">
        <is>
          <t>RuleBox.ai (ручные rules)</t>
        </is>
      </c>
      <c r="F11" s="11" t="inlineStr">
        <is>
          <t>Всё ручное. Никто не генерирует rules автоматически из docs/types библиотеки.</t>
        </is>
      </c>
      <c r="G11" s="11" t="inlineStr">
        <is>
          <t>CLI: `rules-gen react-query` → генерирует .cursor/rules из npm docs + TypeScript types</t>
        </is>
      </c>
      <c r="H11" s="11" t="inlineStr">
        <is>
          <t>Cloud-версия: авто-обновление при релизах библиотеки, кастомные rules поверх, team sharing</t>
        </is>
      </c>
      <c r="I11" s="11" t="inlineStr">
        <is>
          <t>TypeScript, AST parser, LLM API (для генерации), npm registry API</t>
        </is>
      </c>
      <c r="J11" s="11" t="inlineStr">
        <is>
          <t>2-3</t>
        </is>
      </c>
      <c r="K11" s="11" t="n">
        <v>2</v>
      </c>
      <c r="L11" s="11" t="inlineStr">
        <is>
          <t>Средний</t>
        </is>
      </c>
      <c r="M11" s="11" t="inlineStr">
        <is>
          <t>Низкий (использует LLM, но не конкурирует)</t>
        </is>
      </c>
      <c r="N11" s="11" t="inlineStr">
        <is>
          <t>Все разработчики использующие Cursor/Cline. Авторы библиотек.</t>
        </is>
      </c>
      <c r="O11" s="11" t="inlineStr">
        <is>
          <t>Pro $9/мес (auto-update). 1100 юзеров = $10K. Огромный TAM (2M+ npm packages).</t>
        </is>
      </c>
    </row>
    <row r="12">
      <c r="A12" s="11" t="n">
        <v>9</v>
      </c>
      <c r="B12" s="11" t="inlineStr">
        <is>
          <t>MCP Server Boilerplate / SDK+</t>
        </is>
      </c>
      <c r="C12" s="11" t="inlineStr">
        <is>
          <t>MCP Tooling</t>
        </is>
      </c>
      <c r="D12" s="11" t="inlineStr">
        <is>
          <t>Написать MCP-сервер с нуля сложно: auth, error handling, logging, testing, deployment. Офиц. SDK минимальный.</t>
        </is>
      </c>
      <c r="E12" s="11" t="inlineStr">
        <is>
          <t>FastMCP (Python, базовый), офиц. SDK (минимальный)</t>
        </is>
      </c>
      <c r="F12" s="11" t="inlineStr">
        <is>
          <t>FastMCP — только Python, без auth/deploy/monitoring. Офиц. SDK — низкоуровневый. Нет batteries-included решения.</t>
        </is>
      </c>
      <c r="G12" s="11" t="inlineStr">
        <is>
          <t>Batteries-included фреймворк: auth, validation, logging, error handling, health checks, CLI scaffold</t>
        </is>
      </c>
      <c r="H12" s="11" t="inlineStr">
        <is>
          <t>Pro templates (готовые сервера для Stripe/Notion/Slack), hosted deploy, monitoring dashboard</t>
        </is>
      </c>
      <c r="I12" s="11" t="inlineStr">
        <is>
          <t>TypeScript, MCP SDK, Zod, CLI (create-mcp-server)</t>
        </is>
      </c>
      <c r="J12" s="11" t="inlineStr">
        <is>
          <t>4-5</t>
        </is>
      </c>
      <c r="K12" s="11" t="n">
        <v>2</v>
      </c>
      <c r="L12" s="11" t="inlineStr">
        <is>
          <t>Средний-высокий</t>
        </is>
      </c>
      <c r="M12" s="11" t="inlineStr">
        <is>
          <t>Нулевой</t>
        </is>
      </c>
      <c r="N12" s="11" t="inlineStr">
        <is>
          <t>MCP-разработчики которые строят сервера для своих продуктов/компаний</t>
        </is>
      </c>
      <c r="O12" s="11" t="inlineStr">
        <is>
          <t>Pro templates $49/шт + hosted deploy $29/мес. Аналог create-t3-app но для MCP.</t>
        </is>
      </c>
    </row>
    <row r="13">
      <c r="A13" s="11" t="n">
        <v>10</v>
      </c>
      <c r="B13" s="11" t="inlineStr">
        <is>
          <t>LLM Gateway Lite (OSS)</t>
        </is>
      </c>
      <c r="C13" s="11" t="inlineStr">
        <is>
          <t>Agent Infra</t>
        </is>
      </c>
      <c r="D13" s="11" t="inlineStr">
        <is>
          <t>Компании используют 3-4 LLM провайдера одновременно. Нужно: fallback, роутинг, кеш, единый billing.</t>
        </is>
      </c>
      <c r="E13" s="11" t="inlineStr">
        <is>
          <t>Portkey (closed), LiteLLM (broad), Bifrost (infra-heavy)</t>
        </is>
      </c>
      <c r="F13" s="11" t="inlineStr">
        <is>
          <t>Portkey — закрытый. LiteLLM — сложный и тяжёлый. Нет лёгкого OSS прокси 'поставил за 5 минут'.</t>
        </is>
      </c>
      <c r="G13" s="11" t="inlineStr">
        <is>
          <t>Lightweight proxy: unified API, fallback между провайдерами, semantic cache, логирование</t>
        </is>
      </c>
      <c r="H13" s="11" t="inlineStr">
        <is>
          <t>Team dashboard, smart routing (дешёвая модель для простых запросов), spend limits, PII masking, hosted</t>
        </is>
      </c>
      <c r="I13" s="11" t="inlineStr">
        <is>
          <t>TypeScript/Go, HTTP Proxy, Redis (cache), React dashboard</t>
        </is>
      </c>
      <c r="J13" s="11" t="inlineStr">
        <is>
          <t>4-6</t>
        </is>
      </c>
      <c r="K13" s="11" t="n">
        <v>3</v>
      </c>
      <c r="L13" s="11" t="inlineStr">
        <is>
          <t>Высокий</t>
        </is>
      </c>
      <c r="M13" s="11" t="inlineStr">
        <is>
          <t>Нулевой</t>
        </is>
      </c>
      <c r="N13" s="11" t="inlineStr">
        <is>
          <t>AI-стартапы, команды с multi-provider setup (GPT + Claude + Gemini)</t>
        </is>
      </c>
      <c r="O13" s="11" t="inlineStr">
        <is>
          <t>Hosted $49/мес. 200 команд = $10K. Аналог Nginx но для LLM API.</t>
        </is>
      </c>
    </row>
    <row r="16">
      <c r="A16" s="12">
        <f>== РЫНОЧНЫЙ КОНТЕКСТ ===</f>
        <v/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</row>
    <row r="17">
      <c r="A17" s="13" t="inlineStr">
        <is>
          <t>Метрика</t>
        </is>
      </c>
      <c r="B17" s="13" t="inlineStr">
        <is>
          <t>Значение</t>
        </is>
      </c>
      <c r="C17" s="13" t="inlineStr">
        <is>
          <t>Источник</t>
        </is>
      </c>
    </row>
    <row r="18">
      <c r="A18" t="inlineStr">
        <is>
          <t>MCP SDK скачиваний/месяц</t>
        </is>
      </c>
      <c r="B18" t="inlineStr">
        <is>
          <t>97 млн</t>
        </is>
      </c>
      <c r="C18" t="inlineStr">
        <is>
          <t>npm / MCP docs</t>
        </is>
      </c>
    </row>
    <row r="19">
      <c r="A19" t="inlineStr">
        <is>
          <t>MCP-серверов в публичном реестре</t>
        </is>
      </c>
      <c r="B19" t="inlineStr">
        <is>
          <t>10,000+</t>
        </is>
      </c>
      <c r="C19" t="inlineStr">
        <is>
          <t>MCP Registry</t>
        </is>
      </c>
    </row>
    <row r="20">
      <c r="A20" t="inlineStr">
        <is>
          <t>MCP-серверов с build failures</t>
        </is>
      </c>
      <c r="B20" t="inlineStr">
        <is>
          <t>79%</t>
        </is>
      </c>
      <c r="C20" t="inlineStr">
        <is>
          <t>NimbleBrain</t>
        </is>
      </c>
    </row>
    <row r="21">
      <c r="A21" t="inlineStr">
        <is>
          <t>MCP-серверов не деплоятся</t>
        </is>
      </c>
      <c r="B21" t="inlineStr">
        <is>
          <t>20.7%</t>
        </is>
      </c>
      <c r="C21" t="inlineStr">
        <is>
          <t>NimbleBrain</t>
        </is>
      </c>
    </row>
    <row r="22">
      <c r="A22" t="inlineStr">
        <is>
          <t>Cursor пользователей</t>
        </is>
      </c>
      <c r="B22" t="inlineStr">
        <is>
          <t>2M+</t>
        </is>
      </c>
      <c r="C22" t="inlineStr">
        <is>
          <t>Cursor blog</t>
        </is>
      </c>
    </row>
    <row r="23">
      <c r="A23" t="inlineStr">
        <is>
          <t>Cline GitHub stars</t>
        </is>
      </c>
      <c r="B23" t="inlineStr">
        <is>
          <t>58,200</t>
        </is>
      </c>
      <c r="C23" t="inlineStr">
        <is>
          <t>GitHub</t>
        </is>
      </c>
    </row>
    <row r="24">
      <c r="A24" t="inlineStr">
        <is>
          <t>GitHub Copilot SDK</t>
        </is>
      </c>
      <c r="B24" t="inlineStr">
        <is>
          <t>Technical Preview (янв 2026)</t>
        </is>
      </c>
      <c r="C24" t="inlineStr">
        <is>
          <t>GitHub Blog</t>
        </is>
      </c>
    </row>
    <row r="25">
      <c r="A25" t="inlineStr">
        <is>
          <t>MCP SDK языков</t>
        </is>
      </c>
      <c r="B25" t="inlineStr">
        <is>
          <t>10+ (TS, Python, Go, Rust, Java, ...)</t>
        </is>
      </c>
      <c r="C25" t="inlineStr">
        <is>
          <t>MCP GitHub</t>
        </is>
      </c>
    </row>
    <row r="26">
      <c r="A26" t="inlineStr">
        <is>
          <t>LLM API снижение цен за 16 мес</t>
        </is>
      </c>
      <c r="B26" t="inlineStr">
        <is>
          <t>-83%</t>
        </is>
      </c>
      <c r="C26" t="inlineStr">
        <is>
          <t>OpenAI / FutureSearch</t>
        </is>
      </c>
    </row>
    <row r="27">
      <c r="A27" t="inlineStr">
        <is>
          <t>AI M&amp;A сделок за 7 мес 2025</t>
        </is>
      </c>
      <c r="B27" t="inlineStr">
        <is>
          <t>$55.3B</t>
        </is>
      </c>
      <c r="C27" t="inlineStr">
        <is>
          <t>PYMNTS</t>
        </is>
      </c>
    </row>
    <row r="28">
      <c r="A28" s="14" t="n"/>
      <c r="B28" s="14" t="n"/>
      <c r="C28" s="14" t="n"/>
      <c r="D28" s="14" t="n"/>
      <c r="E28" s="14" t="n"/>
      <c r="F28" s="14" t="inlineStr">
        <is>
          <t>Идея</t>
        </is>
      </c>
      <c r="G28" s="14" t="inlineStr">
        <is>
          <t>Score</t>
        </is>
      </c>
      <c r="H28" s="14" t="n"/>
      <c r="I28" s="14" t="inlineStr">
        <is>
          <t>Категория</t>
        </is>
      </c>
      <c r="J28" s="14" t="inlineStr">
        <is>
          <t>Кол-во</t>
        </is>
      </c>
      <c r="K28" s="14" t="n"/>
      <c r="L28" s="14" t="n"/>
      <c r="M28" s="14" t="n"/>
      <c r="N28" s="14" t="n"/>
      <c r="O28" s="14" t="n"/>
    </row>
    <row r="29">
      <c r="A29" s="15">
        <f>== ИТОГОВЫЙ РЕЙТИНГ ===</f>
        <v/>
      </c>
      <c r="B29" s="15" t="n"/>
      <c r="C29" s="15" t="n"/>
      <c r="D29" s="15" t="n"/>
      <c r="F29" t="inlineStr">
        <is>
          <t>MCP Test</t>
        </is>
      </c>
      <c r="G29" t="n">
        <v>9</v>
      </c>
      <c r="I29" t="inlineStr">
        <is>
          <t>MCP Tooling</t>
        </is>
      </c>
      <c r="J29" t="n">
        <v>4</v>
      </c>
    </row>
    <row r="30">
      <c r="A30" s="16" t="inlineStr">
        <is>
          <t>Ранг</t>
        </is>
      </c>
      <c r="B30" s="16" t="inlineStr">
        <is>
          <t>Идея</t>
        </is>
      </c>
      <c r="C30" s="16" t="inlineStr">
        <is>
          <t>Score (1-10)</t>
        </is>
      </c>
      <c r="D30" s="16" t="inlineStr">
        <is>
          <t>Почему этот ранг</t>
        </is>
      </c>
      <c r="F30" t="inlineStr">
        <is>
          <t>Cost Tracker</t>
        </is>
      </c>
      <c r="G30" t="n">
        <v>9</v>
      </c>
      <c r="I30" t="inlineStr">
        <is>
          <t>Agent Observability</t>
        </is>
      </c>
      <c r="J30" t="n">
        <v>1</v>
      </c>
    </row>
    <row r="31">
      <c r="A31" t="n">
        <v>1</v>
      </c>
      <c r="B31" t="inlineStr">
        <is>
          <t>MCP Test Framework</t>
        </is>
      </c>
      <c r="C31" t="n">
        <v>9</v>
      </c>
      <c r="D31" t="inlineStr">
        <is>
          <t>Быстрый MVP (3-4 нед) + нулевая конкуренция + понятная боль (79% серверов сломаны). Можно сразу показать ценность: прогнал тесты на топ-100 MCP серверах, опубликовал результаты — виральный контент.</t>
        </is>
      </c>
      <c r="F31" t="inlineStr">
        <is>
          <t>OpenAPI↔MCP</t>
        </is>
      </c>
      <c r="G31" t="n">
        <v>8</v>
      </c>
      <c r="I31" t="inlineStr">
        <is>
          <t>MCP Security</t>
        </is>
      </c>
      <c r="J31" t="n">
        <v>1</v>
      </c>
    </row>
    <row r="32">
      <c r="A32" t="n">
        <v>2</v>
      </c>
      <c r="B32" t="inlineStr">
        <is>
          <t>AI Agent Cost Tracker</t>
        </is>
      </c>
      <c r="C32" t="n">
        <v>9</v>
      </c>
      <c r="D32" t="inlineStr">
        <is>
          <t>Самый быстрый MVP (2-3 нед) + боль у всех разработчиков (счета за API растут). Огромный TAM: каждый кто использует LLM API. Launch на HN/Twitter.</t>
        </is>
      </c>
      <c r="F32" t="inlineStr">
        <is>
          <t>Auth Middleware</t>
        </is>
      </c>
      <c r="G32" t="n">
        <v>8</v>
      </c>
      <c r="I32" t="inlineStr">
        <is>
          <t>Agent DX</t>
        </is>
      </c>
      <c r="J32" t="n">
        <v>2</v>
      </c>
    </row>
    <row r="33">
      <c r="A33" t="n">
        <v>3</v>
      </c>
      <c r="B33" t="inlineStr">
        <is>
          <t>OpenAPI ↔ MCP конвертер</t>
        </is>
      </c>
      <c r="C33" t="n">
        <v>8</v>
      </c>
      <c r="D33" t="inlineStr">
        <is>
          <t>Понятный результат (скормил → получил) + огромный рынок (тысячи OpenAPI specs) + enterprise необходимость. Auto-sync — очевидная платная фича.</t>
        </is>
      </c>
      <c r="F33" t="inlineStr">
        <is>
          <t>Package Manager</t>
        </is>
      </c>
      <c r="G33" t="n">
        <v>7</v>
      </c>
      <c r="I33" t="inlineStr">
        <is>
          <t>MCP Ops</t>
        </is>
      </c>
      <c r="J33" t="n">
        <v>1</v>
      </c>
    </row>
    <row r="34">
      <c r="A34" t="n">
        <v>4</v>
      </c>
      <c r="B34" t="inlineStr">
        <is>
          <t>MCP Auth Middleware</t>
        </is>
      </c>
      <c r="C34" t="n">
        <v>8</v>
      </c>
      <c r="D34" t="inlineStr">
        <is>
          <t>Высокий revenue (enterprise платит за security) + реальная проблема (Kong/Red Hat пишут гайды — значит боль реальна). Но MVP сложнее.</t>
        </is>
      </c>
      <c r="F34" t="inlineStr">
        <is>
          <t>Rules Gen</t>
        </is>
      </c>
      <c r="G34" t="n">
        <v>7</v>
      </c>
      <c r="I34" t="inlineStr">
        <is>
          <t>Agent Infra</t>
        </is>
      </c>
      <c r="J34" t="n">
        <v>1</v>
      </c>
    </row>
    <row r="35">
      <c r="A35" t="n">
        <v>5</v>
      </c>
      <c r="B35" t="inlineStr">
        <is>
          <t>MCP Package Manager</t>
        </is>
      </c>
      <c r="C35" t="n">
        <v>7</v>
      </c>
      <c r="D35" t="inlineStr">
        <is>
          <t>Самый высокий ceiling (может стать стандартом как npm), но самый долгий MVP (6-8 нед) и риск что Anthropic/официальный реестр сделает это сам.</t>
        </is>
      </c>
      <c r="F35" t="inlineStr">
        <is>
          <t>Boilerplate</t>
        </is>
      </c>
      <c r="G35" t="n">
        <v>7</v>
      </c>
    </row>
    <row r="36">
      <c r="A36" t="n">
        <v>6</v>
      </c>
      <c r="B36" t="inlineStr">
        <is>
          <t>Cursor Rules Auto-Generator</t>
        </is>
      </c>
      <c r="C36" t="n">
        <v>7</v>
      </c>
      <c r="D36" t="inlineStr">
        <is>
          <t>Очень быстрый MVP (2-3 нед) + огромный TAM (2M+ npm пакетов). Но низкая цена ($9/мес) и риск что Cursor сам добавит это.</t>
        </is>
      </c>
      <c r="F36" t="inlineStr">
        <is>
          <t>Health Monitor</t>
        </is>
      </c>
      <c r="G36" t="n">
        <v>6</v>
      </c>
    </row>
    <row r="37">
      <c r="A37" t="n">
        <v>7</v>
      </c>
      <c r="B37" t="inlineStr">
        <is>
          <t>MCP Server Boilerplate</t>
        </is>
      </c>
      <c r="C37" t="n">
        <v>7</v>
      </c>
      <c r="D37" t="inlineStr">
        <is>
          <t>Понятный продукт (create-mcp-server), но официальные SDK улучшаются и могут поглотить эту нишу. FastMCP уже есть для Python.</t>
        </is>
      </c>
      <c r="F37" t="inlineStr">
        <is>
          <t>Config Manager</t>
        </is>
      </c>
      <c r="G37" t="n">
        <v>6</v>
      </c>
    </row>
    <row r="38">
      <c r="A38" t="n">
        <v>8</v>
      </c>
      <c r="B38" t="inlineStr">
        <is>
          <t>MCP Server Health Monitor</t>
        </is>
      </c>
      <c r="C38" t="n">
        <v>6</v>
      </c>
      <c r="D38" t="inlineStr">
        <is>
          <t>Нужно компаниям с MCP в продакшене — но таких пока мало. Рынок растёт, но сегодня рано.</t>
        </is>
      </c>
      <c r="F38" t="inlineStr">
        <is>
          <t>LLM Gateway</t>
        </is>
      </c>
      <c r="G38" t="n">
        <v>5</v>
      </c>
    </row>
    <row r="39">
      <c r="A39" s="17" t="n">
        <v>9</v>
      </c>
      <c r="B39" s="17" t="inlineStr">
        <is>
          <t>Agent Config Manager</t>
        </is>
      </c>
      <c r="C39" s="17" t="n">
        <v>6</v>
      </c>
      <c r="D39" s="17" t="inlineStr">
        <is>
          <t>Боль реальна, но риск что форматы унифицируются (AGENTS.md становится стандартом — и продукт не нужен).</t>
        </is>
      </c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</row>
    <row r="40">
      <c r="A40" s="18" t="n">
        <v>10</v>
      </c>
      <c r="B40" s="18" t="inlineStr">
        <is>
          <t>LLM Gateway Lite</t>
        </is>
      </c>
      <c r="C40" t="n">
        <v>5</v>
      </c>
      <c r="D40" t="inlineStr">
        <is>
          <t>Сильная конкуренция (LiteLLM, Portkey, Bifrost). Длинный MVP. Но если сделать именно 'лёгкий' (5 мин установка) — есть шанс.</t>
        </is>
      </c>
    </row>
    <row r="41">
      <c r="A41" s="11" t="n"/>
      <c r="B41" s="11" t="n"/>
    </row>
    <row r="42">
      <c r="A42" s="11">
        <f>== СТРАТЕГИИ ЗАПУСКА ===</f>
        <v/>
      </c>
      <c r="B42" s="11" t="n"/>
    </row>
    <row r="43">
      <c r="A43" s="11" t="inlineStr">
        <is>
          <t>Стратегия</t>
        </is>
      </c>
      <c r="B43" s="11" t="inlineStr">
        <is>
          <t>Описание</t>
        </is>
      </c>
    </row>
    <row r="44">
      <c r="A44" s="11" t="inlineStr">
        <is>
          <t>Быстрый старт (2-4 нед)</t>
        </is>
      </c>
      <c r="B44" s="11" t="inlineStr">
        <is>
          <t>#2 Cost Tracker или #8 Rules Generator. Минимальный MVP, launch на HN/Twitter/Reddit. Сбор фидбэка и первых юзеров.</t>
        </is>
      </c>
    </row>
    <row r="45">
      <c r="A45" t="inlineStr">
        <is>
          <t>Сбалансированный (3-5 нед)</t>
        </is>
      </c>
      <c r="B45" t="inlineStr">
        <is>
          <t>#1 MCP Test Framework или #5 OpenAPI↔MCP. Лучший баланс скорости/риска/revenue. Launch + виральный контент (тесты топ-100 MCP серверов).</t>
        </is>
      </c>
    </row>
    <row r="46">
      <c r="A46" s="19" t="inlineStr">
        <is>
          <t>Амбициозный (6-8 нед)</t>
        </is>
      </c>
      <c r="B46" s="19" t="inlineStr">
        <is>
          <t>#3 MCP Package Manager или #4 Auth Middleware. Максимальный ceiling, но долгий путь и больше риска. Нужна сильная вера в MCP экосистему.</t>
        </is>
      </c>
      <c r="C46" s="19" t="n"/>
      <c r="D46" s="19" t="n"/>
      <c r="E46" s="19" t="n"/>
      <c r="F46" s="19" t="n"/>
      <c r="G46" s="19" t="n"/>
      <c r="H46" s="19" t="n"/>
      <c r="I46" s="19" t="n"/>
      <c r="J46" s="19" t="n"/>
      <c r="K46" s="19" t="n"/>
      <c r="L46" s="19" t="n"/>
      <c r="M46" s="19" t="n"/>
      <c r="N46" s="19" t="n"/>
      <c r="O46" s="19" t="n"/>
    </row>
    <row r="47">
      <c r="A47" s="20" t="inlineStr">
        <is>
          <t>Комбо-план</t>
        </is>
      </c>
      <c r="B47" s="20" t="inlineStr">
        <is>
          <t>Начать с #1 (Test Framework) → добавить #7 (Health Monitor) → вырасти в полную MCP DevOps платформу. Один бренд, несколько продуктов.</t>
        </is>
      </c>
      <c r="C47" s="20" t="n"/>
      <c r="D47" s="20" t="n"/>
    </row>
    <row r="48">
      <c r="A48" s="11" t="n"/>
      <c r="B48" s="11" t="n"/>
      <c r="C48" s="11" t="n"/>
      <c r="D48" s="11" t="n"/>
    </row>
    <row r="49">
      <c r="A49" s="11">
        <f>== ПОЧЕМУ ЭТО БЕЗОПАСНЕЕ AI-ОБЁРТОК ===</f>
        <v/>
      </c>
      <c r="B49" s="11" t="n"/>
      <c r="C49" s="11" t="n"/>
      <c r="D49" s="11" t="n"/>
    </row>
    <row r="50">
      <c r="A50" s="11" t="inlineStr">
        <is>
          <t>Критерий</t>
        </is>
      </c>
      <c r="B50" s="11" t="inlineStr">
        <is>
          <t>AI-обёртка</t>
        </is>
      </c>
      <c r="C50" s="11" t="inlineStr">
        <is>
          <t>AI Infra (MCP/DevTools)</t>
        </is>
      </c>
      <c r="D50" s="11" t="n"/>
    </row>
    <row r="51">
      <c r="A51" s="11" t="inlineStr">
        <is>
          <t>Moat</t>
        </is>
      </c>
      <c r="B51" s="11" t="inlineStr">
        <is>
          <t>Никакого</t>
        </is>
      </c>
      <c r="C51" s="11" t="inlineStr">
        <is>
          <t>Community + ecosystem + integrations</t>
        </is>
      </c>
      <c r="D51" s="11" t="n"/>
    </row>
    <row r="52">
      <c r="A52" s="11" t="inlineStr">
        <is>
          <t>Gross margin</t>
        </is>
      </c>
      <c r="B52" s="11" t="inlineStr">
        <is>
          <t>25-60%</t>
        </is>
      </c>
      <c r="C52" s="11" t="inlineStr">
        <is>
          <t>80-90% (нет LLM API costs)</t>
        </is>
      </c>
      <c r="D52" s="11" t="n"/>
    </row>
    <row r="53">
      <c r="A53" s="11" t="inlineStr">
        <is>
          <t>Риск от OpenAI</t>
        </is>
      </c>
      <c r="B53" s="11" t="inlineStr">
        <is>
          <t>Высокий (убьют фичей)</t>
        </is>
      </c>
      <c r="C53" s="11" t="inlineStr">
        <is>
          <t>Нулевой (OpenAI не делает DevTools)</t>
        </is>
      </c>
      <c r="D53" s="11" t="n"/>
    </row>
    <row r="54">
      <c r="A54" t="inlineStr">
        <is>
          <t>Маркетинг</t>
        </is>
      </c>
      <c r="B54" t="inlineStr">
        <is>
          <t>Платный (ads, outreach)</t>
        </is>
      </c>
      <c r="C54" t="inlineStr">
        <is>
          <t>Бесплатный (GitHub, npm, HN)</t>
        </is>
      </c>
    </row>
    <row r="55">
      <c r="A55" t="inlineStr">
        <is>
          <t>Пример провала</t>
        </is>
      </c>
      <c r="B55" t="inlineStr">
        <is>
          <t>Jasper, Phind, CodeParrot</t>
        </is>
      </c>
      <c r="C55" t="inlineStr">
        <is>
          <t>Редко — если community есть, проект живёт</t>
        </is>
      </c>
    </row>
    <row r="56">
      <c r="A56" t="inlineStr">
        <is>
          <t>Пример успеха</t>
        </is>
      </c>
      <c r="B56" t="inlineStr">
        <is>
          <t>Почти нет</t>
        </is>
      </c>
      <c r="C56" t="inlineStr">
        <is>
          <t>Sidekiq $10M, Supabase $5B, PostHog $9.5M</t>
        </is>
      </c>
    </row>
    <row r="57">
      <c r="A57" t="inlineStr">
        <is>
          <t>Time to copy</t>
        </is>
      </c>
      <c r="B57" t="inlineStr">
        <is>
          <t>3-6 месяцев</t>
        </is>
      </c>
      <c r="C57" t="inlineStr">
        <is>
          <t>1-2 года (нужна community)</t>
        </is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2026-02-28T19:58:06Z</dcterms:created>
  <dcterms:modified xsi:type="dcterms:W3CDTF">2026-03-01T07:56:56Z</dcterms:modified>
</cp:coreProperties>
</file>